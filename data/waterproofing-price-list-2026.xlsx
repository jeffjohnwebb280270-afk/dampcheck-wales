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topping\Desktop\Mapei Price List\"/>
    </mc:Choice>
  </mc:AlternateContent>
  <xr:revisionPtr revIDLastSave="0" documentId="13_ncr:1_{A937C6CB-07F9-4726-84DF-466154C89337}" xr6:coauthVersionLast="47" xr6:coauthVersionMax="47" xr10:uidLastSave="{00000000-0000-0000-0000-000000000000}"/>
  <bookViews>
    <workbookView xWindow="26910" yWindow="1515" windowWidth="22410" windowHeight="15285" firstSheet="1" activeTab="1" xr2:uid="{0E7A81CE-5262-47B9-9F36-FBC287DFA1E8}"/>
  </bookViews>
  <sheets>
    <sheet name="Sheet1" sheetId="1" state="hidden" r:id="rId1"/>
    <sheet name="Sheet2" sheetId="2" r:id="rId2"/>
  </sheets>
  <definedNames>
    <definedName name="_xlnm._FilterDatabase" localSheetId="0" hidden="1">Sheet1!$A$1:$K$594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7" i="2" l="1"/>
  <c r="C576" i="2"/>
  <c r="Q576" i="2" s="1"/>
  <c r="Q575" i="2"/>
  <c r="M575" i="2"/>
  <c r="P575" i="2" s="1"/>
  <c r="Q574" i="2"/>
  <c r="M574" i="2"/>
  <c r="P574" i="2" s="1"/>
  <c r="Q573" i="2"/>
  <c r="M573" i="2"/>
  <c r="P573" i="2" s="1"/>
  <c r="Q572" i="2"/>
  <c r="M572" i="2"/>
  <c r="P572" i="2" s="1"/>
  <c r="Q571" i="2"/>
  <c r="M571" i="2"/>
  <c r="P571" i="2" s="1"/>
  <c r="Q570" i="2"/>
  <c r="M570" i="2"/>
  <c r="P570" i="2" s="1"/>
  <c r="Q569" i="2"/>
  <c r="M569" i="2"/>
  <c r="P569" i="2" s="1"/>
  <c r="C568" i="2"/>
  <c r="Q568" i="2" s="1"/>
  <c r="Q567" i="2"/>
  <c r="M567" i="2"/>
  <c r="P567" i="2" s="1"/>
  <c r="Q566" i="2"/>
  <c r="M566" i="2"/>
  <c r="P566" i="2" s="1"/>
  <c r="Q565" i="2"/>
  <c r="M565" i="2"/>
  <c r="P565" i="2" s="1"/>
  <c r="C564" i="2"/>
  <c r="Q564" i="2" s="1"/>
  <c r="C563" i="2"/>
  <c r="C562" i="2"/>
  <c r="M562" i="2" s="1"/>
  <c r="P562" i="2" s="1"/>
  <c r="Q561" i="2"/>
  <c r="M561" i="2"/>
  <c r="P561" i="2" s="1"/>
  <c r="Q560" i="2"/>
  <c r="M560" i="2"/>
  <c r="P560" i="2" s="1"/>
  <c r="Q559" i="2"/>
  <c r="M559" i="2"/>
  <c r="P559" i="2" s="1"/>
  <c r="Q558" i="2"/>
  <c r="M558" i="2"/>
  <c r="P558" i="2" s="1"/>
  <c r="Q557" i="2"/>
  <c r="M557" i="2"/>
  <c r="P557" i="2" s="1"/>
  <c r="Q556" i="2"/>
  <c r="M556" i="2"/>
  <c r="P556" i="2" s="1"/>
  <c r="Q555" i="2"/>
  <c r="M555" i="2"/>
  <c r="P555" i="2" s="1"/>
  <c r="C554" i="2"/>
  <c r="Q554" i="2" s="1"/>
  <c r="C553" i="2"/>
  <c r="Q553" i="2" s="1"/>
  <c r="C552" i="2"/>
  <c r="Q552" i="2" s="1"/>
  <c r="C551" i="2"/>
  <c r="Q551" i="2" s="1"/>
  <c r="C550" i="2"/>
  <c r="Q550" i="2" s="1"/>
  <c r="Q549" i="2"/>
  <c r="M549" i="2"/>
  <c r="P549" i="2" s="1"/>
  <c r="Q548" i="2"/>
  <c r="M548" i="2"/>
  <c r="P548" i="2" s="1"/>
  <c r="C547" i="2"/>
  <c r="Q547" i="2" s="1"/>
  <c r="C546" i="2"/>
  <c r="M546" i="2" s="1"/>
  <c r="P546" i="2" s="1"/>
  <c r="C545" i="2"/>
  <c r="Q545" i="2" s="1"/>
  <c r="C544" i="2"/>
  <c r="Q544" i="2" s="1"/>
  <c r="C543" i="2"/>
  <c r="M543" i="2" s="1"/>
  <c r="P543" i="2" s="1"/>
  <c r="Q542" i="2"/>
  <c r="M542" i="2"/>
  <c r="P542" i="2" s="1"/>
  <c r="Q541" i="2"/>
  <c r="M541" i="2"/>
  <c r="P541" i="2" s="1"/>
  <c r="Q540" i="2"/>
  <c r="M540" i="2"/>
  <c r="P540" i="2" s="1"/>
  <c r="Q539" i="2"/>
  <c r="M539" i="2"/>
  <c r="P539" i="2" s="1"/>
  <c r="C538" i="2"/>
  <c r="M538" i="2" s="1"/>
  <c r="P538" i="2" s="1"/>
  <c r="Q537" i="2"/>
  <c r="M537" i="2"/>
  <c r="P537" i="2" s="1"/>
  <c r="C536" i="2"/>
  <c r="Q536" i="2" s="1"/>
  <c r="C535" i="2"/>
  <c r="Q535" i="2" s="1"/>
  <c r="Q534" i="2"/>
  <c r="M534" i="2"/>
  <c r="P534" i="2" s="1"/>
  <c r="Q533" i="2"/>
  <c r="M533" i="2"/>
  <c r="P533" i="2" s="1"/>
  <c r="C532" i="2"/>
  <c r="C531" i="2"/>
  <c r="M531" i="2" s="1"/>
  <c r="P531" i="2" s="1"/>
  <c r="C530" i="2"/>
  <c r="Q530" i="2" s="1"/>
  <c r="C529" i="2"/>
  <c r="C528" i="2"/>
  <c r="M528" i="2" s="1"/>
  <c r="P528" i="2" s="1"/>
  <c r="C527" i="2"/>
  <c r="Q527" i="2" s="1"/>
  <c r="C526" i="2"/>
  <c r="C525" i="2"/>
  <c r="M525" i="2" s="1"/>
  <c r="P525" i="2" s="1"/>
  <c r="C524" i="2"/>
  <c r="Q524" i="2" s="1"/>
  <c r="C523" i="2"/>
  <c r="C522" i="2"/>
  <c r="M522" i="2" s="1"/>
  <c r="P522" i="2" s="1"/>
  <c r="C521" i="2"/>
  <c r="Q521" i="2" s="1"/>
  <c r="C520" i="2"/>
  <c r="C519" i="2"/>
  <c r="M519" i="2" s="1"/>
  <c r="P519" i="2" s="1"/>
  <c r="C518" i="2"/>
  <c r="Q518" i="2" s="1"/>
  <c r="C517" i="2"/>
  <c r="C516" i="2"/>
  <c r="M516" i="2" s="1"/>
  <c r="P516" i="2" s="1"/>
  <c r="C515" i="2"/>
  <c r="Q515" i="2" s="1"/>
  <c r="C514" i="2"/>
  <c r="C513" i="2"/>
  <c r="M513" i="2" s="1"/>
  <c r="P513" i="2" s="1"/>
  <c r="C512" i="2"/>
  <c r="Q512" i="2" s="1"/>
  <c r="C511" i="2"/>
  <c r="C510" i="2"/>
  <c r="M510" i="2" s="1"/>
  <c r="P510" i="2" s="1"/>
  <c r="C509" i="2"/>
  <c r="Q509" i="2" s="1"/>
  <c r="C508" i="2"/>
  <c r="M507" i="2"/>
  <c r="P507" i="2" s="1"/>
  <c r="C506" i="2"/>
  <c r="Q506" i="2" s="1"/>
  <c r="C505" i="2"/>
  <c r="C504" i="2"/>
  <c r="M504" i="2" s="1"/>
  <c r="P504" i="2" s="1"/>
  <c r="C503" i="2"/>
  <c r="Q503" i="2" s="1"/>
  <c r="C501" i="2"/>
  <c r="M501" i="2" s="1"/>
  <c r="P501" i="2" s="1"/>
  <c r="C500" i="2"/>
  <c r="Q500" i="2" s="1"/>
  <c r="C499" i="2"/>
  <c r="M498" i="2"/>
  <c r="P498" i="2" s="1"/>
  <c r="Q497" i="2"/>
  <c r="Q496" i="2"/>
  <c r="M496" i="2"/>
  <c r="P496" i="2" s="1"/>
  <c r="Q495" i="2"/>
  <c r="M495" i="2"/>
  <c r="P495" i="2" s="1"/>
  <c r="C494" i="2"/>
  <c r="Q494" i="2" s="1"/>
  <c r="Q493" i="2"/>
  <c r="M493" i="2"/>
  <c r="P493" i="2" s="1"/>
  <c r="Q492" i="2"/>
  <c r="M492" i="2"/>
  <c r="P492" i="2" s="1"/>
  <c r="Q491" i="2"/>
  <c r="M491" i="2"/>
  <c r="P491" i="2" s="1"/>
  <c r="Q490" i="2"/>
  <c r="M490" i="2"/>
  <c r="P490" i="2" s="1"/>
  <c r="Q489" i="2"/>
  <c r="M489" i="2"/>
  <c r="P489" i="2" s="1"/>
  <c r="Q488" i="2"/>
  <c r="M488" i="2"/>
  <c r="P488" i="2" s="1"/>
  <c r="C487" i="2"/>
  <c r="M487" i="2" s="1"/>
  <c r="P487" i="2" s="1"/>
  <c r="C486" i="2"/>
  <c r="Q486" i="2" s="1"/>
  <c r="C485" i="2"/>
  <c r="C484" i="2"/>
  <c r="M484" i="2" s="1"/>
  <c r="P484" i="2" s="1"/>
  <c r="C483" i="2"/>
  <c r="Q483" i="2" s="1"/>
  <c r="C482" i="2"/>
  <c r="C481" i="2"/>
  <c r="M481" i="2" s="1"/>
  <c r="P481" i="2" s="1"/>
  <c r="C480" i="2"/>
  <c r="Q480" i="2" s="1"/>
  <c r="C479" i="2"/>
  <c r="C478" i="2"/>
  <c r="M478" i="2" s="1"/>
  <c r="P478" i="2" s="1"/>
  <c r="C477" i="2"/>
  <c r="Q477" i="2" s="1"/>
  <c r="C476" i="2"/>
  <c r="C475" i="2"/>
  <c r="M475" i="2" s="1"/>
  <c r="P475" i="2" s="1"/>
  <c r="C474" i="2"/>
  <c r="Q474" i="2" s="1"/>
  <c r="C473" i="2"/>
  <c r="C472" i="2"/>
  <c r="M472" i="2" s="1"/>
  <c r="P472" i="2" s="1"/>
  <c r="C471" i="2"/>
  <c r="Q471" i="2" s="1"/>
  <c r="Q470" i="2"/>
  <c r="M470" i="2"/>
  <c r="P470" i="2" s="1"/>
  <c r="Q469" i="2"/>
  <c r="M469" i="2"/>
  <c r="P469" i="2" s="1"/>
  <c r="C468" i="2"/>
  <c r="Q468" i="2" s="1"/>
  <c r="Q467" i="2"/>
  <c r="M467" i="2"/>
  <c r="P467" i="2" s="1"/>
  <c r="Q466" i="2"/>
  <c r="M466" i="2"/>
  <c r="P466" i="2" s="1"/>
  <c r="Q465" i="2"/>
  <c r="M465" i="2"/>
  <c r="P465" i="2" s="1"/>
  <c r="Q464" i="2"/>
  <c r="M464" i="2"/>
  <c r="P464" i="2" s="1"/>
  <c r="Q463" i="2"/>
  <c r="M463" i="2"/>
  <c r="P463" i="2" s="1"/>
  <c r="Q462" i="2"/>
  <c r="M462" i="2"/>
  <c r="P462" i="2" s="1"/>
  <c r="Q461" i="2"/>
  <c r="M461" i="2"/>
  <c r="P461" i="2" s="1"/>
  <c r="Q460" i="2"/>
  <c r="M460" i="2"/>
  <c r="P460" i="2" s="1"/>
  <c r="Q459" i="2"/>
  <c r="M459" i="2"/>
  <c r="P459" i="2" s="1"/>
  <c r="Q458" i="2"/>
  <c r="M458" i="2"/>
  <c r="P458" i="2" s="1"/>
  <c r="Q457" i="2"/>
  <c r="M457" i="2"/>
  <c r="P457" i="2" s="1"/>
  <c r="C456" i="2"/>
  <c r="M456" i="2" s="1"/>
  <c r="P456" i="2" s="1"/>
  <c r="Q455" i="2"/>
  <c r="M455" i="2"/>
  <c r="P455" i="2" s="1"/>
  <c r="Q454" i="2"/>
  <c r="M454" i="2"/>
  <c r="P454" i="2" s="1"/>
  <c r="Q453" i="2"/>
  <c r="M453" i="2"/>
  <c r="P453" i="2" s="1"/>
  <c r="C452" i="2"/>
  <c r="Q452" i="2" s="1"/>
  <c r="C451" i="2"/>
  <c r="C450" i="2"/>
  <c r="M450" i="2" s="1"/>
  <c r="P450" i="2" s="1"/>
  <c r="Q449" i="2"/>
  <c r="M449" i="2"/>
  <c r="P449" i="2" s="1"/>
  <c r="Q448" i="2"/>
  <c r="M448" i="2"/>
  <c r="P448" i="2" s="1"/>
  <c r="Q447" i="2"/>
  <c r="M447" i="2"/>
  <c r="P447" i="2" s="1"/>
  <c r="C446" i="2"/>
  <c r="Q446" i="2" s="1"/>
  <c r="C445" i="2"/>
  <c r="C444" i="2"/>
  <c r="M444" i="2" s="1"/>
  <c r="P444" i="2" s="1"/>
  <c r="C443" i="2"/>
  <c r="Q443" i="2" s="1"/>
  <c r="C442" i="2"/>
  <c r="C441" i="2"/>
  <c r="M441" i="2" s="1"/>
  <c r="P441" i="2" s="1"/>
  <c r="C440" i="2"/>
  <c r="Q440" i="2" s="1"/>
  <c r="C439" i="2"/>
  <c r="Q438" i="2"/>
  <c r="M438" i="2"/>
  <c r="P438" i="2" s="1"/>
  <c r="Q437" i="2"/>
  <c r="M437" i="2"/>
  <c r="P437" i="2" s="1"/>
  <c r="Q436" i="2"/>
  <c r="M436" i="2"/>
  <c r="P436" i="2" s="1"/>
  <c r="C435" i="2"/>
  <c r="Q435" i="2" s="1"/>
  <c r="C434" i="2"/>
  <c r="M434" i="2" s="1"/>
  <c r="P434" i="2" s="1"/>
  <c r="C433" i="2"/>
  <c r="Q433" i="2" s="1"/>
  <c r="C432" i="2"/>
  <c r="Q431" i="2"/>
  <c r="M431" i="2"/>
  <c r="P431" i="2" s="1"/>
  <c r="Q430" i="2"/>
  <c r="M430" i="2"/>
  <c r="P430" i="2" s="1"/>
  <c r="Q429" i="2"/>
  <c r="M429" i="2"/>
  <c r="P429" i="2" s="1"/>
  <c r="Q428" i="2"/>
  <c r="M428" i="2"/>
  <c r="P428" i="2" s="1"/>
  <c r="Q427" i="2"/>
  <c r="M427" i="2"/>
  <c r="P427" i="2" s="1"/>
  <c r="Q426" i="2"/>
  <c r="M426" i="2"/>
  <c r="P426" i="2" s="1"/>
  <c r="C425" i="2"/>
  <c r="Q425" i="2" s="1"/>
  <c r="C424" i="2"/>
  <c r="M424" i="2" s="1"/>
  <c r="P424" i="2" s="1"/>
  <c r="Q423" i="2"/>
  <c r="Q422" i="2"/>
  <c r="Q421" i="2"/>
  <c r="C420" i="2"/>
  <c r="Q420" i="2" s="1"/>
  <c r="Q419" i="2"/>
  <c r="M419" i="2"/>
  <c r="P419" i="2" s="1"/>
  <c r="Q418" i="2"/>
  <c r="M418" i="2"/>
  <c r="P418" i="2" s="1"/>
  <c r="Q417" i="2"/>
  <c r="M417" i="2"/>
  <c r="P417" i="2" s="1"/>
  <c r="Q416" i="2"/>
  <c r="M416" i="2"/>
  <c r="P416" i="2" s="1"/>
  <c r="Q415" i="2"/>
  <c r="M415" i="2"/>
  <c r="P415" i="2" s="1"/>
  <c r="Q414" i="2"/>
  <c r="M414" i="2"/>
  <c r="P414" i="2" s="1"/>
  <c r="Q413" i="2"/>
  <c r="M413" i="2"/>
  <c r="P413" i="2" s="1"/>
  <c r="Q412" i="2"/>
  <c r="M412" i="2"/>
  <c r="P412" i="2" s="1"/>
  <c r="Q411" i="2"/>
  <c r="M411" i="2"/>
  <c r="P411" i="2" s="1"/>
  <c r="Q410" i="2"/>
  <c r="M410" i="2"/>
  <c r="P410" i="2" s="1"/>
  <c r="Q409" i="2"/>
  <c r="M409" i="2"/>
  <c r="P409" i="2" s="1"/>
  <c r="Q408" i="2"/>
  <c r="M408" i="2"/>
  <c r="P408" i="2" s="1"/>
  <c r="C407" i="2"/>
  <c r="M407" i="2" s="1"/>
  <c r="P407" i="2" s="1"/>
  <c r="Q406" i="2"/>
  <c r="M406" i="2"/>
  <c r="P406" i="2" s="1"/>
  <c r="Q405" i="2"/>
  <c r="M405" i="2"/>
  <c r="P405" i="2" s="1"/>
  <c r="Q404" i="2"/>
  <c r="M404" i="2"/>
  <c r="P404" i="2" s="1"/>
  <c r="Q403" i="2"/>
  <c r="M403" i="2"/>
  <c r="P403" i="2" s="1"/>
  <c r="Q402" i="2"/>
  <c r="M402" i="2"/>
  <c r="P402" i="2" s="1"/>
  <c r="Q401" i="2"/>
  <c r="M401" i="2"/>
  <c r="P401" i="2" s="1"/>
  <c r="Q400" i="2"/>
  <c r="M400" i="2"/>
  <c r="P400" i="2" s="1"/>
  <c r="Q399" i="2"/>
  <c r="M399" i="2"/>
  <c r="P399" i="2" s="1"/>
  <c r="Q398" i="2"/>
  <c r="M398" i="2"/>
  <c r="P398" i="2" s="1"/>
  <c r="Q397" i="2"/>
  <c r="M397" i="2"/>
  <c r="P397" i="2" s="1"/>
  <c r="Q396" i="2"/>
  <c r="M396" i="2"/>
  <c r="P396" i="2" s="1"/>
  <c r="Q395" i="2"/>
  <c r="M395" i="2"/>
  <c r="P395" i="2" s="1"/>
  <c r="C394" i="2"/>
  <c r="Q394" i="2" s="1"/>
  <c r="C393" i="2"/>
  <c r="Q393" i="2" s="1"/>
  <c r="C392" i="2"/>
  <c r="Q392" i="2" s="1"/>
  <c r="C391" i="2"/>
  <c r="Q391" i="2" s="1"/>
  <c r="Q390" i="2"/>
  <c r="M390" i="2"/>
  <c r="P390" i="2" s="1"/>
  <c r="Q389" i="2"/>
  <c r="M389" i="2"/>
  <c r="P389" i="2" s="1"/>
  <c r="Q388" i="2"/>
  <c r="M388" i="2"/>
  <c r="P388" i="2" s="1"/>
  <c r="Q387" i="2"/>
  <c r="M387" i="2"/>
  <c r="P387" i="2" s="1"/>
  <c r="Q386" i="2"/>
  <c r="M386" i="2"/>
  <c r="P386" i="2" s="1"/>
  <c r="Q385" i="2"/>
  <c r="M385" i="2"/>
  <c r="P385" i="2" s="1"/>
  <c r="Q384" i="2"/>
  <c r="M384" i="2"/>
  <c r="P384" i="2" s="1"/>
  <c r="Q383" i="2"/>
  <c r="M383" i="2"/>
  <c r="P383" i="2" s="1"/>
  <c r="Q382" i="2"/>
  <c r="M382" i="2"/>
  <c r="P382" i="2" s="1"/>
  <c r="Q381" i="2"/>
  <c r="M381" i="2"/>
  <c r="P381" i="2" s="1"/>
  <c r="Q380" i="2"/>
  <c r="M380" i="2"/>
  <c r="P380" i="2" s="1"/>
  <c r="Q379" i="2"/>
  <c r="M379" i="2"/>
  <c r="P379" i="2" s="1"/>
  <c r="Q378" i="2"/>
  <c r="M378" i="2"/>
  <c r="P378" i="2" s="1"/>
  <c r="Q377" i="2"/>
  <c r="M377" i="2"/>
  <c r="P377" i="2" s="1"/>
  <c r="Q376" i="2"/>
  <c r="M376" i="2"/>
  <c r="P376" i="2" s="1"/>
  <c r="Q375" i="2"/>
  <c r="M375" i="2"/>
  <c r="P375" i="2" s="1"/>
  <c r="Q374" i="2"/>
  <c r="M374" i="2"/>
  <c r="P374" i="2" s="1"/>
  <c r="Q373" i="2"/>
  <c r="M373" i="2"/>
  <c r="P373" i="2" s="1"/>
  <c r="Q372" i="2"/>
  <c r="M372" i="2"/>
  <c r="P372" i="2" s="1"/>
  <c r="C371" i="2"/>
  <c r="M371" i="2" s="1"/>
  <c r="P371" i="2" s="1"/>
  <c r="Q370" i="2"/>
  <c r="M370" i="2"/>
  <c r="P370" i="2" s="1"/>
  <c r="Q369" i="2"/>
  <c r="M369" i="2"/>
  <c r="P369" i="2" s="1"/>
  <c r="C368" i="2"/>
  <c r="Q368" i="2" s="1"/>
  <c r="Q367" i="2"/>
  <c r="M367" i="2"/>
  <c r="P367" i="2" s="1"/>
  <c r="C366" i="2"/>
  <c r="Q366" i="2" s="1"/>
  <c r="C365" i="2"/>
  <c r="Q365" i="2" s="1"/>
  <c r="C364" i="2"/>
  <c r="Q364" i="2" s="1"/>
  <c r="C363" i="2"/>
  <c r="Q363" i="2" s="1"/>
  <c r="Q362" i="2"/>
  <c r="M362" i="2"/>
  <c r="P362" i="2" s="1"/>
  <c r="Q361" i="2"/>
  <c r="M361" i="2"/>
  <c r="P361" i="2" s="1"/>
  <c r="Q360" i="2"/>
  <c r="M360" i="2"/>
  <c r="P360" i="2" s="1"/>
  <c r="Q359" i="2"/>
  <c r="M359" i="2"/>
  <c r="P359" i="2" s="1"/>
  <c r="C358" i="2"/>
  <c r="Q358" i="2" s="1"/>
  <c r="C357" i="2"/>
  <c r="Q357" i="2" s="1"/>
  <c r="C356" i="2"/>
  <c r="Q356" i="2" s="1"/>
  <c r="C355" i="2"/>
  <c r="Q355" i="2" s="1"/>
  <c r="C354" i="2"/>
  <c r="Q354" i="2" s="1"/>
  <c r="C353" i="2"/>
  <c r="Q353" i="2" s="1"/>
  <c r="C352" i="2"/>
  <c r="Q352" i="2" s="1"/>
  <c r="C351" i="2"/>
  <c r="Q351" i="2" s="1"/>
  <c r="C350" i="2"/>
  <c r="Q350" i="2" s="1"/>
  <c r="Q349" i="2"/>
  <c r="M349" i="2"/>
  <c r="P349" i="2" s="1"/>
  <c r="Q348" i="2"/>
  <c r="M348" i="2"/>
  <c r="P348" i="2" s="1"/>
  <c r="C347" i="2"/>
  <c r="Q347" i="2" s="1"/>
  <c r="C346" i="2"/>
  <c r="M346" i="2" s="1"/>
  <c r="P346" i="2" s="1"/>
  <c r="C345" i="2"/>
  <c r="Q345" i="2" s="1"/>
  <c r="C344" i="2"/>
  <c r="Q344" i="2" s="1"/>
  <c r="C343" i="2"/>
  <c r="M343" i="2" s="1"/>
  <c r="P343" i="2" s="1"/>
  <c r="C342" i="2"/>
  <c r="Q342" i="2" s="1"/>
  <c r="C341" i="2"/>
  <c r="Q341" i="2" s="1"/>
  <c r="Q340" i="2"/>
  <c r="M340" i="2"/>
  <c r="P340" i="2" s="1"/>
  <c r="Q339" i="2"/>
  <c r="M339" i="2"/>
  <c r="P339" i="2" s="1"/>
  <c r="Q338" i="2"/>
  <c r="M338" i="2"/>
  <c r="P338" i="2" s="1"/>
  <c r="C337" i="2"/>
  <c r="C336" i="2"/>
  <c r="C335" i="2"/>
  <c r="M335" i="2" s="1"/>
  <c r="P335" i="2" s="1"/>
  <c r="C334" i="2"/>
  <c r="C333" i="2"/>
  <c r="C332" i="2"/>
  <c r="M332" i="2" s="1"/>
  <c r="P332" i="2" s="1"/>
  <c r="C331" i="2"/>
  <c r="C330" i="2"/>
  <c r="C329" i="2"/>
  <c r="M329" i="2" s="1"/>
  <c r="P329" i="2" s="1"/>
  <c r="C328" i="2"/>
  <c r="C327" i="2"/>
  <c r="C326" i="2"/>
  <c r="M326" i="2" s="1"/>
  <c r="P326" i="2" s="1"/>
  <c r="C325" i="2"/>
  <c r="C324" i="2"/>
  <c r="C323" i="2"/>
  <c r="M323" i="2" s="1"/>
  <c r="P323" i="2" s="1"/>
  <c r="C322" i="2"/>
  <c r="C321" i="2"/>
  <c r="C320" i="2"/>
  <c r="M320" i="2" s="1"/>
  <c r="P320" i="2" s="1"/>
  <c r="C319" i="2"/>
  <c r="C318" i="2"/>
  <c r="C317" i="2"/>
  <c r="M317" i="2" s="1"/>
  <c r="P317" i="2" s="1"/>
  <c r="C316" i="2"/>
  <c r="C315" i="2"/>
  <c r="Q314" i="2"/>
  <c r="M314" i="2"/>
  <c r="P314" i="2" s="1"/>
  <c r="C313" i="2"/>
  <c r="Q313" i="2" s="1"/>
  <c r="C312" i="2"/>
  <c r="Q312" i="2" s="1"/>
  <c r="C311" i="2"/>
  <c r="Q311" i="2" s="1"/>
  <c r="C310" i="2"/>
  <c r="Q310" i="2" s="1"/>
  <c r="C309" i="2"/>
  <c r="M309" i="2" s="1"/>
  <c r="P309" i="2" s="1"/>
  <c r="C308" i="2"/>
  <c r="Q308" i="2" s="1"/>
  <c r="C307" i="2"/>
  <c r="Q307" i="2" s="1"/>
  <c r="C306" i="2"/>
  <c r="Q306" i="2" s="1"/>
  <c r="C305" i="2"/>
  <c r="Q305" i="2" s="1"/>
  <c r="C304" i="2"/>
  <c r="Q304" i="2" s="1"/>
  <c r="C303" i="2"/>
  <c r="Q303" i="2" s="1"/>
  <c r="C302" i="2"/>
  <c r="Q302" i="2" s="1"/>
  <c r="Q301" i="2"/>
  <c r="M301" i="2"/>
  <c r="P301" i="2" s="1"/>
  <c r="Q300" i="2"/>
  <c r="M300" i="2"/>
  <c r="P300" i="2" s="1"/>
  <c r="Q299" i="2"/>
  <c r="M299" i="2"/>
  <c r="P299" i="2" s="1"/>
  <c r="Q298" i="2"/>
  <c r="M298" i="2"/>
  <c r="P298" i="2" s="1"/>
  <c r="Q297" i="2"/>
  <c r="M297" i="2"/>
  <c r="P297" i="2" s="1"/>
  <c r="C296" i="2"/>
  <c r="M296" i="2" s="1"/>
  <c r="P296" i="2" s="1"/>
  <c r="Q295" i="2"/>
  <c r="M295" i="2"/>
  <c r="P295" i="2" s="1"/>
  <c r="Q294" i="2"/>
  <c r="M294" i="2"/>
  <c r="P294" i="2" s="1"/>
  <c r="C293" i="2"/>
  <c r="C292" i="2"/>
  <c r="Q291" i="2"/>
  <c r="M291" i="2"/>
  <c r="P291" i="2" s="1"/>
  <c r="C290" i="2"/>
  <c r="Q290" i="2" s="1"/>
  <c r="C289" i="2"/>
  <c r="Q289" i="2" s="1"/>
  <c r="Q288" i="2"/>
  <c r="M288" i="2"/>
  <c r="P288" i="2" s="1"/>
  <c r="Q287" i="2"/>
  <c r="M287" i="2"/>
  <c r="P287" i="2" s="1"/>
  <c r="Q286" i="2"/>
  <c r="M286" i="2"/>
  <c r="P286" i="2" s="1"/>
  <c r="Q285" i="2"/>
  <c r="M285" i="2"/>
  <c r="P285" i="2" s="1"/>
  <c r="Q284" i="2"/>
  <c r="M284" i="2"/>
  <c r="P284" i="2" s="1"/>
  <c r="Q283" i="2"/>
  <c r="M283" i="2"/>
  <c r="P283" i="2" s="1"/>
  <c r="Q282" i="2"/>
  <c r="M282" i="2"/>
  <c r="P282" i="2" s="1"/>
  <c r="Q281" i="2"/>
  <c r="M281" i="2"/>
  <c r="P281" i="2" s="1"/>
  <c r="Q280" i="2"/>
  <c r="M280" i="2"/>
  <c r="P280" i="2" s="1"/>
  <c r="Q279" i="2"/>
  <c r="M279" i="2"/>
  <c r="P279" i="2" s="1"/>
  <c r="Q278" i="2"/>
  <c r="M278" i="2"/>
  <c r="P278" i="2" s="1"/>
  <c r="C277" i="2"/>
  <c r="Q276" i="2"/>
  <c r="M276" i="2"/>
  <c r="P276" i="2" s="1"/>
  <c r="Q275" i="2"/>
  <c r="M275" i="2"/>
  <c r="P275" i="2" s="1"/>
  <c r="C274" i="2"/>
  <c r="M274" i="2" s="1"/>
  <c r="P274" i="2" s="1"/>
  <c r="C273" i="2"/>
  <c r="Q273" i="2" s="1"/>
  <c r="C272" i="2"/>
  <c r="Q272" i="2" s="1"/>
  <c r="C271" i="2"/>
  <c r="M271" i="2" s="1"/>
  <c r="P271" i="2" s="1"/>
  <c r="C270" i="2"/>
  <c r="Q270" i="2" s="1"/>
  <c r="C269" i="2"/>
  <c r="Q269" i="2" s="1"/>
  <c r="C268" i="2"/>
  <c r="Q268" i="2" s="1"/>
  <c r="C267" i="2"/>
  <c r="Q267" i="2" s="1"/>
  <c r="C266" i="2"/>
  <c r="Q266" i="2" s="1"/>
  <c r="C265" i="2"/>
  <c r="Q265" i="2" s="1"/>
  <c r="C264" i="2"/>
  <c r="Q264" i="2" s="1"/>
  <c r="C263" i="2"/>
  <c r="Q263" i="2" s="1"/>
  <c r="C262" i="2"/>
  <c r="Q262" i="2" s="1"/>
  <c r="C261" i="2"/>
  <c r="Q261" i="2" s="1"/>
  <c r="C260" i="2"/>
  <c r="Q260" i="2" s="1"/>
  <c r="C259" i="2"/>
  <c r="Q259" i="2" s="1"/>
  <c r="C258" i="2"/>
  <c r="Q258" i="2" s="1"/>
  <c r="C257" i="2"/>
  <c r="Q257" i="2" s="1"/>
  <c r="C256" i="2"/>
  <c r="M256" i="2" s="1"/>
  <c r="P256" i="2" s="1"/>
  <c r="C255" i="2"/>
  <c r="Q255" i="2" s="1"/>
  <c r="C254" i="2"/>
  <c r="Q254" i="2" s="1"/>
  <c r="C253" i="2"/>
  <c r="Q253" i="2" s="1"/>
  <c r="C252" i="2"/>
  <c r="Q252" i="2" s="1"/>
  <c r="C251" i="2"/>
  <c r="M251" i="2" s="1"/>
  <c r="P251" i="2" s="1"/>
  <c r="Q250" i="2"/>
  <c r="M250" i="2"/>
  <c r="P250" i="2" s="1"/>
  <c r="Q249" i="2"/>
  <c r="M249" i="2"/>
  <c r="P249" i="2" s="1"/>
  <c r="Q248" i="2"/>
  <c r="M248" i="2"/>
  <c r="P248" i="2" s="1"/>
  <c r="Q247" i="2"/>
  <c r="M247" i="2"/>
  <c r="P247" i="2" s="1"/>
  <c r="C246" i="2"/>
  <c r="Q246" i="2" s="1"/>
  <c r="C245" i="2"/>
  <c r="Q245" i="2" s="1"/>
  <c r="Q244" i="2"/>
  <c r="M244" i="2"/>
  <c r="P244" i="2" s="1"/>
  <c r="Q243" i="2"/>
  <c r="M243" i="2"/>
  <c r="P243" i="2" s="1"/>
  <c r="C242" i="2"/>
  <c r="M242" i="2" s="1"/>
  <c r="P242" i="2" s="1"/>
  <c r="C241" i="2"/>
  <c r="Q241" i="2" s="1"/>
  <c r="C240" i="2"/>
  <c r="C239" i="2"/>
  <c r="M239" i="2" s="1"/>
  <c r="P239" i="2" s="1"/>
  <c r="Q238" i="2"/>
  <c r="M238" i="2"/>
  <c r="P238" i="2" s="1"/>
  <c r="C237" i="2"/>
  <c r="M237" i="2" s="1"/>
  <c r="P237" i="2" s="1"/>
  <c r="C236" i="2"/>
  <c r="Q236" i="2" s="1"/>
  <c r="C235" i="2"/>
  <c r="Q235" i="2" s="1"/>
  <c r="C234" i="2"/>
  <c r="M234" i="2" s="1"/>
  <c r="P234" i="2" s="1"/>
  <c r="C233" i="2"/>
  <c r="Q233" i="2" s="1"/>
  <c r="C232" i="2"/>
  <c r="M232" i="2" s="1"/>
  <c r="P232" i="2" s="1"/>
  <c r="C231" i="2"/>
  <c r="M231" i="2" s="1"/>
  <c r="P231" i="2" s="1"/>
  <c r="C230" i="2"/>
  <c r="Q230" i="2" s="1"/>
  <c r="C229" i="2"/>
  <c r="C228" i="2"/>
  <c r="M228" i="2" s="1"/>
  <c r="P228" i="2" s="1"/>
  <c r="Q227" i="2"/>
  <c r="M227" i="2"/>
  <c r="P227" i="2" s="1"/>
  <c r="C226" i="2"/>
  <c r="Q226" i="2" s="1"/>
  <c r="C225" i="2"/>
  <c r="M225" i="2" s="1"/>
  <c r="P225" i="2" s="1"/>
  <c r="C224" i="2"/>
  <c r="M224" i="2" s="1"/>
  <c r="P224" i="2" s="1"/>
  <c r="C223" i="2"/>
  <c r="Q223" i="2" s="1"/>
  <c r="C222" i="2"/>
  <c r="M222" i="2" s="1"/>
  <c r="P222" i="2" s="1"/>
  <c r="C221" i="2"/>
  <c r="Q221" i="2" s="1"/>
  <c r="C220" i="2"/>
  <c r="Q220" i="2" s="1"/>
  <c r="C219" i="2"/>
  <c r="M219" i="2" s="1"/>
  <c r="P219" i="2" s="1"/>
  <c r="C218" i="2"/>
  <c r="Q218" i="2" s="1"/>
  <c r="M217" i="2"/>
  <c r="P217" i="2" s="1"/>
  <c r="C216" i="2"/>
  <c r="M216" i="2" s="1"/>
  <c r="P216" i="2" s="1"/>
  <c r="C215" i="2"/>
  <c r="Q215" i="2" s="1"/>
  <c r="Q214" i="2"/>
  <c r="M214" i="2"/>
  <c r="P214" i="2" s="1"/>
  <c r="Q213" i="2"/>
  <c r="M213" i="2"/>
  <c r="P213" i="2" s="1"/>
  <c r="Q212" i="2"/>
  <c r="M212" i="2"/>
  <c r="P212" i="2" s="1"/>
  <c r="C211" i="2"/>
  <c r="Q211" i="2" s="1"/>
  <c r="C210" i="2"/>
  <c r="Q210" i="2" s="1"/>
  <c r="C209" i="2"/>
  <c r="Q209" i="2" s="1"/>
  <c r="C208" i="2"/>
  <c r="Q208" i="2" s="1"/>
  <c r="C207" i="2"/>
  <c r="Q207" i="2" s="1"/>
  <c r="C206" i="2"/>
  <c r="Q206" i="2" s="1"/>
  <c r="C205" i="2"/>
  <c r="Q205" i="2" s="1"/>
  <c r="C204" i="2"/>
  <c r="Q204" i="2" s="1"/>
  <c r="C203" i="2"/>
  <c r="Q203" i="2" s="1"/>
  <c r="C202" i="2"/>
  <c r="Q202" i="2" s="1"/>
  <c r="C201" i="2"/>
  <c r="Q201" i="2" s="1"/>
  <c r="C200" i="2"/>
  <c r="Q200" i="2" s="1"/>
  <c r="C199" i="2"/>
  <c r="Q199" i="2" s="1"/>
  <c r="C198" i="2"/>
  <c r="Q198" i="2" s="1"/>
  <c r="C197" i="2"/>
  <c r="Q197" i="2" s="1"/>
  <c r="C196" i="2"/>
  <c r="M196" i="2" s="1"/>
  <c r="P196" i="2" s="1"/>
  <c r="C195" i="2"/>
  <c r="Q195" i="2" s="1"/>
  <c r="C194" i="2"/>
  <c r="Q194" i="2" s="1"/>
  <c r="Q193" i="2"/>
  <c r="M193" i="2"/>
  <c r="P193" i="2" s="1"/>
  <c r="Q192" i="2"/>
  <c r="M192" i="2"/>
  <c r="P192" i="2" s="1"/>
  <c r="C191" i="2"/>
  <c r="Q191" i="2" s="1"/>
  <c r="C190" i="2"/>
  <c r="Q190" i="2" s="1"/>
  <c r="C189" i="2"/>
  <c r="Q189" i="2" s="1"/>
  <c r="C188" i="2"/>
  <c r="Q188" i="2" s="1"/>
  <c r="C187" i="2"/>
  <c r="Q187" i="2" s="1"/>
  <c r="C186" i="2"/>
  <c r="M186" i="2" s="1"/>
  <c r="P186" i="2" s="1"/>
  <c r="C185" i="2"/>
  <c r="Q185" i="2" s="1"/>
  <c r="C184" i="2"/>
  <c r="Q184" i="2" s="1"/>
  <c r="C183" i="2"/>
  <c r="Q183" i="2" s="1"/>
  <c r="Q182" i="2"/>
  <c r="M182" i="2"/>
  <c r="P182" i="2" s="1"/>
  <c r="Q181" i="2"/>
  <c r="M181" i="2"/>
  <c r="P181" i="2" s="1"/>
  <c r="Q180" i="2"/>
  <c r="M180" i="2"/>
  <c r="P180" i="2" s="1"/>
  <c r="Q179" i="2"/>
  <c r="M179" i="2"/>
  <c r="P179" i="2" s="1"/>
  <c r="Q178" i="2"/>
  <c r="M178" i="2"/>
  <c r="P178" i="2" s="1"/>
  <c r="Q177" i="2"/>
  <c r="M177" i="2"/>
  <c r="P177" i="2" s="1"/>
  <c r="Q176" i="2"/>
  <c r="M176" i="2"/>
  <c r="P176" i="2" s="1"/>
  <c r="Q175" i="2"/>
  <c r="M175" i="2"/>
  <c r="P175" i="2" s="1"/>
  <c r="Q174" i="2"/>
  <c r="M174" i="2"/>
  <c r="P174" i="2" s="1"/>
  <c r="Q173" i="2"/>
  <c r="M173" i="2"/>
  <c r="P173" i="2" s="1"/>
  <c r="Q172" i="2"/>
  <c r="M172" i="2"/>
  <c r="P172" i="2" s="1"/>
  <c r="Q171" i="2"/>
  <c r="M171" i="2"/>
  <c r="P171" i="2" s="1"/>
  <c r="Q170" i="2"/>
  <c r="M170" i="2"/>
  <c r="P170" i="2" s="1"/>
  <c r="C169" i="2"/>
  <c r="Q169" i="2" s="1"/>
  <c r="Q168" i="2"/>
  <c r="M168" i="2"/>
  <c r="P168" i="2" s="1"/>
  <c r="Q167" i="2"/>
  <c r="M167" i="2"/>
  <c r="P167" i="2" s="1"/>
  <c r="Q166" i="2"/>
  <c r="M166" i="2"/>
  <c r="P166" i="2" s="1"/>
  <c r="Q165" i="2"/>
  <c r="M165" i="2"/>
  <c r="P165" i="2" s="1"/>
  <c r="Q164" i="2"/>
  <c r="M164" i="2"/>
  <c r="P164" i="2" s="1"/>
  <c r="Q163" i="2"/>
  <c r="M163" i="2"/>
  <c r="P163" i="2" s="1"/>
  <c r="C162" i="2"/>
  <c r="Q162" i="2" s="1"/>
  <c r="C161" i="2"/>
  <c r="Q161" i="2" s="1"/>
  <c r="C160" i="2"/>
  <c r="C159" i="2"/>
  <c r="Q159" i="2" s="1"/>
  <c r="Q158" i="2"/>
  <c r="M158" i="2"/>
  <c r="P158" i="2" s="1"/>
  <c r="C157" i="2"/>
  <c r="Q157" i="2" s="1"/>
  <c r="Q156" i="2"/>
  <c r="M156" i="2"/>
  <c r="P156" i="2" s="1"/>
  <c r="Q155" i="2"/>
  <c r="M155" i="2"/>
  <c r="P155" i="2" s="1"/>
  <c r="C154" i="2"/>
  <c r="Q154" i="2" s="1"/>
  <c r="C153" i="2"/>
  <c r="Q152" i="2"/>
  <c r="M152" i="2"/>
  <c r="P152" i="2" s="1"/>
  <c r="Q151" i="2"/>
  <c r="M151" i="2"/>
  <c r="P151" i="2" s="1"/>
  <c r="C150" i="2"/>
  <c r="Q150" i="2" s="1"/>
  <c r="C149" i="2"/>
  <c r="Q149" i="2" s="1"/>
  <c r="C148" i="2"/>
  <c r="M148" i="2" s="1"/>
  <c r="P148" i="2" s="1"/>
  <c r="C147" i="2"/>
  <c r="Q147" i="2" s="1"/>
  <c r="Q146" i="2"/>
  <c r="M146" i="2"/>
  <c r="P146" i="2" s="1"/>
  <c r="C145" i="2"/>
  <c r="Q145" i="2" s="1"/>
  <c r="Q144" i="2"/>
  <c r="M144" i="2"/>
  <c r="P144" i="2" s="1"/>
  <c r="Q143" i="2"/>
  <c r="M143" i="2"/>
  <c r="P143" i="2" s="1"/>
  <c r="Q142" i="2"/>
  <c r="M142" i="2"/>
  <c r="P142" i="2" s="1"/>
  <c r="Q141" i="2"/>
  <c r="M141" i="2"/>
  <c r="P141" i="2" s="1"/>
  <c r="Q140" i="2"/>
  <c r="M140" i="2"/>
  <c r="P140" i="2" s="1"/>
  <c r="Q139" i="2"/>
  <c r="M139" i="2"/>
  <c r="P139" i="2" s="1"/>
  <c r="Q138" i="2"/>
  <c r="M138" i="2"/>
  <c r="P138" i="2" s="1"/>
  <c r="Q137" i="2"/>
  <c r="M137" i="2"/>
  <c r="P137" i="2" s="1"/>
  <c r="Q136" i="2"/>
  <c r="M136" i="2"/>
  <c r="P136" i="2" s="1"/>
  <c r="Q135" i="2"/>
  <c r="M135" i="2"/>
  <c r="P135" i="2" s="1"/>
  <c r="C134" i="2"/>
  <c r="M134" i="2" s="1"/>
  <c r="P134" i="2" s="1"/>
  <c r="C133" i="2"/>
  <c r="Q133" i="2" s="1"/>
  <c r="C132" i="2"/>
  <c r="M132" i="2" s="1"/>
  <c r="P132" i="2" s="1"/>
  <c r="M131" i="2"/>
  <c r="P131" i="2" s="1"/>
  <c r="Q130" i="2"/>
  <c r="M129" i="2"/>
  <c r="P129" i="2" s="1"/>
  <c r="C128" i="2"/>
  <c r="M128" i="2" s="1"/>
  <c r="P128" i="2" s="1"/>
  <c r="C127" i="2"/>
  <c r="Q127" i="2" s="1"/>
  <c r="C126" i="2"/>
  <c r="M126" i="2" s="1"/>
  <c r="P126" i="2" s="1"/>
  <c r="C125" i="2"/>
  <c r="M125" i="2" s="1"/>
  <c r="P125" i="2" s="1"/>
  <c r="C124" i="2"/>
  <c r="Q124" i="2" s="1"/>
  <c r="C123" i="2"/>
  <c r="M123" i="2" s="1"/>
  <c r="P123" i="2" s="1"/>
  <c r="C122" i="2"/>
  <c r="M122" i="2" s="1"/>
  <c r="P122" i="2" s="1"/>
  <c r="C121" i="2"/>
  <c r="Q121" i="2" s="1"/>
  <c r="C120" i="2"/>
  <c r="M120" i="2" s="1"/>
  <c r="P120" i="2" s="1"/>
  <c r="C119" i="2"/>
  <c r="M119" i="2" s="1"/>
  <c r="P119" i="2" s="1"/>
  <c r="C118" i="2"/>
  <c r="Q118" i="2" s="1"/>
  <c r="C117" i="2"/>
  <c r="M117" i="2" s="1"/>
  <c r="P117" i="2" s="1"/>
  <c r="C116" i="2"/>
  <c r="M116" i="2" s="1"/>
  <c r="P116" i="2" s="1"/>
  <c r="C115" i="2"/>
  <c r="Q115" i="2" s="1"/>
  <c r="C114" i="2"/>
  <c r="Q114" i="2" s="1"/>
  <c r="Q113" i="2"/>
  <c r="M113" i="2"/>
  <c r="P113" i="2" s="1"/>
  <c r="Q112" i="2"/>
  <c r="M112" i="2"/>
  <c r="P112" i="2" s="1"/>
  <c r="Q111" i="2"/>
  <c r="M111" i="2"/>
  <c r="P111" i="2" s="1"/>
  <c r="Q110" i="2"/>
  <c r="M110" i="2"/>
  <c r="P110" i="2" s="1"/>
  <c r="C109" i="2"/>
  <c r="M109" i="2" s="1"/>
  <c r="P109" i="2" s="1"/>
  <c r="C108" i="2"/>
  <c r="Q108" i="2" s="1"/>
  <c r="C107" i="2"/>
  <c r="M107" i="2" s="1"/>
  <c r="P107" i="2" s="1"/>
  <c r="C106" i="2"/>
  <c r="M106" i="2" s="1"/>
  <c r="P106" i="2" s="1"/>
  <c r="C105" i="2"/>
  <c r="Q105" i="2" s="1"/>
  <c r="C104" i="2"/>
  <c r="M104" i="2" s="1"/>
  <c r="P104" i="2" s="1"/>
  <c r="C103" i="2"/>
  <c r="M103" i="2" s="1"/>
  <c r="P103" i="2" s="1"/>
  <c r="C102" i="2"/>
  <c r="Q102" i="2" s="1"/>
  <c r="C101" i="2"/>
  <c r="M101" i="2" s="1"/>
  <c r="P101" i="2" s="1"/>
  <c r="C100" i="2"/>
  <c r="M100" i="2" s="1"/>
  <c r="P100" i="2" s="1"/>
  <c r="Q99" i="2"/>
  <c r="M99" i="2"/>
  <c r="P99" i="2" s="1"/>
  <c r="C98" i="2"/>
  <c r="M98" i="2" s="1"/>
  <c r="P98" i="2" s="1"/>
  <c r="C97" i="2"/>
  <c r="Q97" i="2" s="1"/>
  <c r="C96" i="2"/>
  <c r="M96" i="2" s="1"/>
  <c r="P96" i="2" s="1"/>
  <c r="C95" i="2"/>
  <c r="Q95" i="2" s="1"/>
  <c r="C94" i="2"/>
  <c r="Q94" i="2" s="1"/>
  <c r="C93" i="2"/>
  <c r="M93" i="2" s="1"/>
  <c r="P93" i="2" s="1"/>
  <c r="Q92" i="2"/>
  <c r="M92" i="2"/>
  <c r="P92" i="2" s="1"/>
  <c r="Q91" i="2"/>
  <c r="M91" i="2"/>
  <c r="P91" i="2" s="1"/>
  <c r="Q90" i="2"/>
  <c r="M90" i="2"/>
  <c r="P90" i="2" s="1"/>
  <c r="Q89" i="2"/>
  <c r="M89" i="2"/>
  <c r="P89" i="2" s="1"/>
  <c r="Q88" i="2"/>
  <c r="M88" i="2"/>
  <c r="P88" i="2" s="1"/>
  <c r="Q87" i="2"/>
  <c r="M87" i="2"/>
  <c r="P87" i="2" s="1"/>
  <c r="Q86" i="2"/>
  <c r="M86" i="2"/>
  <c r="P86" i="2" s="1"/>
  <c r="Q85" i="2"/>
  <c r="M85" i="2"/>
  <c r="P85" i="2" s="1"/>
  <c r="Q84" i="2"/>
  <c r="M84" i="2"/>
  <c r="P84" i="2" s="1"/>
  <c r="Q83" i="2"/>
  <c r="M83" i="2"/>
  <c r="P83" i="2" s="1"/>
  <c r="Q82" i="2"/>
  <c r="M82" i="2"/>
  <c r="P82" i="2" s="1"/>
  <c r="Q81" i="2"/>
  <c r="M81" i="2"/>
  <c r="P81" i="2" s="1"/>
  <c r="Q80" i="2"/>
  <c r="M80" i="2"/>
  <c r="P80" i="2" s="1"/>
  <c r="Q79" i="2"/>
  <c r="M79" i="2"/>
  <c r="P79" i="2" s="1"/>
  <c r="Q78" i="2"/>
  <c r="M78" i="2"/>
  <c r="P78" i="2" s="1"/>
  <c r="Q77" i="2"/>
  <c r="M77" i="2"/>
  <c r="P77" i="2" s="1"/>
  <c r="Q76" i="2"/>
  <c r="M76" i="2"/>
  <c r="P76" i="2" s="1"/>
  <c r="Q75" i="2"/>
  <c r="M75" i="2"/>
  <c r="P75" i="2" s="1"/>
  <c r="Q74" i="2"/>
  <c r="M74" i="2"/>
  <c r="P74" i="2" s="1"/>
  <c r="C73" i="2"/>
  <c r="Q73" i="2" s="1"/>
  <c r="C72" i="2"/>
  <c r="M72" i="2" s="1"/>
  <c r="P72" i="2" s="1"/>
  <c r="Q71" i="2"/>
  <c r="M71" i="2"/>
  <c r="P71" i="2" s="1"/>
  <c r="Q70" i="2"/>
  <c r="M70" i="2"/>
  <c r="P70" i="2" s="1"/>
  <c r="C69" i="2"/>
  <c r="Q69" i="2" s="1"/>
  <c r="C68" i="2"/>
  <c r="Q68" i="2" s="1"/>
  <c r="C67" i="2"/>
  <c r="Q67" i="2" s="1"/>
  <c r="C66" i="2"/>
  <c r="Q66" i="2" s="1"/>
  <c r="C65" i="2"/>
  <c r="Q65" i="2" s="1"/>
  <c r="C64" i="2"/>
  <c r="Q64" i="2" s="1"/>
  <c r="C63" i="2"/>
  <c r="Q63" i="2" s="1"/>
  <c r="Q62" i="2"/>
  <c r="M62" i="2"/>
  <c r="P62" i="2" s="1"/>
  <c r="Q61" i="2"/>
  <c r="M61" i="2"/>
  <c r="P61" i="2" s="1"/>
  <c r="C60" i="2"/>
  <c r="Q60" i="2" s="1"/>
  <c r="Q59" i="2"/>
  <c r="M59" i="2"/>
  <c r="P59" i="2" s="1"/>
  <c r="Q58" i="2"/>
  <c r="M58" i="2"/>
  <c r="P58" i="2" s="1"/>
  <c r="Q57" i="2"/>
  <c r="M57" i="2"/>
  <c r="P57" i="2" s="1"/>
  <c r="Q56" i="2"/>
  <c r="M56" i="2"/>
  <c r="P56" i="2" s="1"/>
  <c r="Q55" i="2"/>
  <c r="M55" i="2"/>
  <c r="P55" i="2" s="1"/>
  <c r="Q54" i="2"/>
  <c r="M54" i="2"/>
  <c r="P54" i="2" s="1"/>
  <c r="Q53" i="2"/>
  <c r="M53" i="2"/>
  <c r="P53" i="2" s="1"/>
  <c r="C52" i="2"/>
  <c r="Q52" i="2" s="1"/>
  <c r="M51" i="2"/>
  <c r="P51" i="2" s="1"/>
  <c r="Q50" i="2"/>
  <c r="M50" i="2"/>
  <c r="P50" i="2" s="1"/>
  <c r="Q49" i="2"/>
  <c r="M49" i="2"/>
  <c r="P49" i="2" s="1"/>
  <c r="C48" i="2"/>
  <c r="Q48" i="2" s="1"/>
  <c r="C47" i="2"/>
  <c r="C46" i="2"/>
  <c r="Q46" i="2" s="1"/>
  <c r="C45" i="2"/>
  <c r="Q45" i="2" s="1"/>
  <c r="C44" i="2"/>
  <c r="C43" i="2"/>
  <c r="Q43" i="2" s="1"/>
  <c r="Q42" i="2"/>
  <c r="M42" i="2"/>
  <c r="P42" i="2" s="1"/>
  <c r="C41" i="2"/>
  <c r="M41" i="2" s="1"/>
  <c r="P41" i="2" s="1"/>
  <c r="Q40" i="2"/>
  <c r="M40" i="2"/>
  <c r="P40" i="2" s="1"/>
  <c r="C39" i="2"/>
  <c r="Q39" i="2" s="1"/>
  <c r="C38" i="2"/>
  <c r="M38" i="2" s="1"/>
  <c r="P38" i="2" s="1"/>
  <c r="C37" i="2"/>
  <c r="Q37" i="2" s="1"/>
  <c r="C36" i="2"/>
  <c r="Q36" i="2" s="1"/>
  <c r="C35" i="2"/>
  <c r="Q35" i="2" s="1"/>
  <c r="C34" i="2"/>
  <c r="Q34" i="2" s="1"/>
  <c r="Q33" i="2"/>
  <c r="M33" i="2"/>
  <c r="P33" i="2" s="1"/>
  <c r="C32" i="2"/>
  <c r="Q32" i="2" s="1"/>
  <c r="C31" i="2"/>
  <c r="Q31" i="2" s="1"/>
  <c r="C30" i="2"/>
  <c r="Q30" i="2" s="1"/>
  <c r="C29" i="2"/>
  <c r="Q29" i="2" s="1"/>
  <c r="C28" i="2"/>
  <c r="Q28" i="2" s="1"/>
  <c r="C27" i="2"/>
  <c r="Q27" i="2" s="1"/>
  <c r="C26" i="2"/>
  <c r="Q26" i="2" s="1"/>
  <c r="C25" i="2"/>
  <c r="Q25" i="2" s="1"/>
  <c r="C24" i="2"/>
  <c r="Q24" i="2" s="1"/>
  <c r="C23" i="2"/>
  <c r="Q23" i="2" s="1"/>
  <c r="Q22" i="2"/>
  <c r="M22" i="2"/>
  <c r="P22" i="2" s="1"/>
  <c r="Q21" i="2"/>
  <c r="M21" i="2"/>
  <c r="P21" i="2" s="1"/>
  <c r="C20" i="2"/>
  <c r="Q20" i="2" s="1"/>
  <c r="Q19" i="2"/>
  <c r="M19" i="2"/>
  <c r="P19" i="2" s="1"/>
  <c r="C18" i="2"/>
  <c r="Q18" i="2" s="1"/>
  <c r="C17" i="2"/>
  <c r="Q17" i="2" s="1"/>
  <c r="C16" i="2"/>
  <c r="Q16" i="2" s="1"/>
  <c r="C15" i="2"/>
  <c r="Q15" i="2" s="1"/>
  <c r="C14" i="2"/>
  <c r="Q14" i="2" s="1"/>
  <c r="C13" i="2"/>
  <c r="Q13" i="2" s="1"/>
  <c r="C12" i="2"/>
  <c r="Q12" i="2" s="1"/>
  <c r="C11" i="2"/>
  <c r="Q11" i="2" s="1"/>
  <c r="C10" i="2"/>
  <c r="M10" i="2" s="1"/>
  <c r="P10" i="2" s="1"/>
  <c r="C9" i="2"/>
  <c r="M9" i="2" s="1"/>
  <c r="P9" i="2" s="1"/>
  <c r="Q8" i="2"/>
  <c r="M8" i="2"/>
  <c r="P8" i="2" s="1"/>
  <c r="C7" i="2"/>
  <c r="Q7" i="2" s="1"/>
  <c r="C6" i="2"/>
  <c r="Q6" i="2" s="1"/>
  <c r="C5" i="2"/>
  <c r="Q5" i="2" s="1"/>
  <c r="Q4" i="2"/>
  <c r="M4" i="2"/>
  <c r="P4" i="2" s="1"/>
  <c r="C3" i="2"/>
  <c r="Q3" i="2" s="1"/>
  <c r="Q226" i="1"/>
  <c r="Q237" i="1"/>
  <c r="Q242" i="1"/>
  <c r="Q243" i="1"/>
  <c r="Q246" i="1"/>
  <c r="Q247" i="1"/>
  <c r="Q248" i="1"/>
  <c r="Q249" i="1"/>
  <c r="Q274" i="1"/>
  <c r="Q275" i="1"/>
  <c r="Q277" i="1"/>
  <c r="Q278" i="1"/>
  <c r="Q279" i="1"/>
  <c r="Q280" i="1"/>
  <c r="Q281" i="1"/>
  <c r="Q282" i="1"/>
  <c r="Q283" i="1"/>
  <c r="Q284" i="1"/>
  <c r="Q285" i="1"/>
  <c r="Q286" i="1"/>
  <c r="Q287" i="1"/>
  <c r="Q290" i="1"/>
  <c r="Q293" i="1"/>
  <c r="Q294" i="1"/>
  <c r="Q296" i="1"/>
  <c r="Q297" i="1"/>
  <c r="Q298" i="1"/>
  <c r="Q299" i="1"/>
  <c r="Q300" i="1"/>
  <c r="Q313" i="1"/>
  <c r="Q337" i="1"/>
  <c r="Q338" i="1"/>
  <c r="Q339" i="1"/>
  <c r="Q347" i="1"/>
  <c r="Q348" i="1"/>
  <c r="Q358" i="1"/>
  <c r="Q359" i="1"/>
  <c r="Q360" i="1"/>
  <c r="Q361" i="1"/>
  <c r="Q366" i="1"/>
  <c r="Q368" i="1"/>
  <c r="Q369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25" i="1"/>
  <c r="Q426" i="1"/>
  <c r="Q427" i="1"/>
  <c r="Q428" i="1"/>
  <c r="Q429" i="1"/>
  <c r="Q430" i="1"/>
  <c r="Q435" i="1"/>
  <c r="Q436" i="1"/>
  <c r="Q437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71" i="1"/>
  <c r="Q472" i="1"/>
  <c r="Q473" i="1"/>
  <c r="Q475" i="1"/>
  <c r="Q476" i="1"/>
  <c r="Q477" i="1"/>
  <c r="Q478" i="1"/>
  <c r="Q479" i="1"/>
  <c r="Q480" i="1"/>
  <c r="Q481" i="1"/>
  <c r="Q482" i="1"/>
  <c r="Q483" i="1"/>
  <c r="Q484" i="1"/>
  <c r="Q485" i="1"/>
  <c r="Q487" i="1"/>
  <c r="Q488" i="1"/>
  <c r="Q506" i="1"/>
  <c r="Q507" i="1"/>
  <c r="Q508" i="1"/>
  <c r="Q509" i="1"/>
  <c r="Q510" i="1"/>
  <c r="Q511" i="1"/>
  <c r="Q513" i="1"/>
  <c r="Q514" i="1"/>
  <c r="Q551" i="1"/>
  <c r="Q552" i="1"/>
  <c r="Q555" i="1"/>
  <c r="Q557" i="1"/>
  <c r="Q558" i="1"/>
  <c r="Q559" i="1"/>
  <c r="Q560" i="1"/>
  <c r="Q566" i="1"/>
  <c r="Q567" i="1"/>
  <c r="Q573" i="1"/>
  <c r="Q574" i="1"/>
  <c r="Q575" i="1"/>
  <c r="Q576" i="1"/>
  <c r="Q577" i="1"/>
  <c r="Q578" i="1"/>
  <c r="Q579" i="1"/>
  <c r="Q583" i="1"/>
  <c r="Q584" i="1"/>
  <c r="Q585" i="1"/>
  <c r="Q587" i="1"/>
  <c r="Q588" i="1"/>
  <c r="Q589" i="1"/>
  <c r="Q590" i="1"/>
  <c r="Q591" i="1"/>
  <c r="Q592" i="1"/>
  <c r="Q593" i="1"/>
  <c r="Q3" i="1"/>
  <c r="Q7" i="1"/>
  <c r="Q18" i="1"/>
  <c r="Q20" i="1"/>
  <c r="Q21" i="1"/>
  <c r="Q32" i="1"/>
  <c r="Q39" i="1"/>
  <c r="Q41" i="1"/>
  <c r="Q48" i="1"/>
  <c r="Q49" i="1"/>
  <c r="Q52" i="1"/>
  <c r="Q53" i="1"/>
  <c r="Q54" i="1"/>
  <c r="Q55" i="1"/>
  <c r="Q56" i="1"/>
  <c r="Q57" i="1"/>
  <c r="Q58" i="1"/>
  <c r="Q60" i="1"/>
  <c r="Q61" i="1"/>
  <c r="Q69" i="1"/>
  <c r="Q70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8" i="1"/>
  <c r="Q109" i="1"/>
  <c r="Q110" i="1"/>
  <c r="Q111" i="1"/>
  <c r="Q112" i="1"/>
  <c r="Q134" i="1"/>
  <c r="Q135" i="1"/>
  <c r="Q136" i="1"/>
  <c r="Q137" i="1"/>
  <c r="Q138" i="1"/>
  <c r="Q139" i="1"/>
  <c r="Q140" i="1"/>
  <c r="Q141" i="1"/>
  <c r="Q142" i="1"/>
  <c r="Q143" i="1"/>
  <c r="Q145" i="1"/>
  <c r="Q150" i="1"/>
  <c r="Q151" i="1"/>
  <c r="Q154" i="1"/>
  <c r="Q155" i="1"/>
  <c r="Q157" i="1"/>
  <c r="Q162" i="1"/>
  <c r="Q163" i="1"/>
  <c r="Q164" i="1"/>
  <c r="Q165" i="1"/>
  <c r="Q166" i="1"/>
  <c r="Q167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91" i="1"/>
  <c r="Q192" i="1"/>
  <c r="Q211" i="1"/>
  <c r="Q212" i="1"/>
  <c r="Q213" i="1"/>
  <c r="M3" i="1"/>
  <c r="P3" i="1" s="1"/>
  <c r="M7" i="1"/>
  <c r="P7" i="1" s="1"/>
  <c r="M18" i="1"/>
  <c r="P18" i="1" s="1"/>
  <c r="M20" i="1"/>
  <c r="P20" i="1" s="1"/>
  <c r="M21" i="1"/>
  <c r="P21" i="1" s="1"/>
  <c r="M32" i="1"/>
  <c r="P32" i="1" s="1"/>
  <c r="M39" i="1"/>
  <c r="P39" i="1" s="1"/>
  <c r="M41" i="1"/>
  <c r="P41" i="1" s="1"/>
  <c r="M48" i="1"/>
  <c r="P48" i="1" s="1"/>
  <c r="M49" i="1"/>
  <c r="P49" i="1" s="1"/>
  <c r="M50" i="1"/>
  <c r="P50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60" i="1"/>
  <c r="P60" i="1" s="1"/>
  <c r="M61" i="1"/>
  <c r="P61" i="1" s="1"/>
  <c r="M69" i="1"/>
  <c r="P69" i="1" s="1"/>
  <c r="M70" i="1"/>
  <c r="P70" i="1" s="1"/>
  <c r="M73" i="1"/>
  <c r="P73" i="1" s="1"/>
  <c r="M74" i="1"/>
  <c r="P74" i="1" s="1"/>
  <c r="M75" i="1"/>
  <c r="P75" i="1" s="1"/>
  <c r="M76" i="1"/>
  <c r="P76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6" i="1"/>
  <c r="P86" i="1" s="1"/>
  <c r="M87" i="1"/>
  <c r="P87" i="1" s="1"/>
  <c r="M88" i="1"/>
  <c r="P88" i="1" s="1"/>
  <c r="M89" i="1"/>
  <c r="P89" i="1" s="1"/>
  <c r="M90" i="1"/>
  <c r="P90" i="1" s="1"/>
  <c r="M91" i="1"/>
  <c r="P91" i="1" s="1"/>
  <c r="M98" i="1"/>
  <c r="P98" i="1" s="1"/>
  <c r="M109" i="1"/>
  <c r="P109" i="1" s="1"/>
  <c r="M110" i="1"/>
  <c r="P110" i="1" s="1"/>
  <c r="M111" i="1"/>
  <c r="P111" i="1" s="1"/>
  <c r="M112" i="1"/>
  <c r="P112" i="1" s="1"/>
  <c r="M134" i="1"/>
  <c r="P134" i="1" s="1"/>
  <c r="M135" i="1"/>
  <c r="P135" i="1" s="1"/>
  <c r="M136" i="1"/>
  <c r="P136" i="1" s="1"/>
  <c r="M137" i="1"/>
  <c r="P137" i="1" s="1"/>
  <c r="M138" i="1"/>
  <c r="P138" i="1" s="1"/>
  <c r="M139" i="1"/>
  <c r="P139" i="1" s="1"/>
  <c r="M140" i="1"/>
  <c r="P140" i="1" s="1"/>
  <c r="M141" i="1"/>
  <c r="P141" i="1" s="1"/>
  <c r="M142" i="1"/>
  <c r="P142" i="1" s="1"/>
  <c r="M143" i="1"/>
  <c r="P143" i="1" s="1"/>
  <c r="M145" i="1"/>
  <c r="P145" i="1" s="1"/>
  <c r="M150" i="1"/>
  <c r="P150" i="1" s="1"/>
  <c r="M151" i="1"/>
  <c r="P151" i="1" s="1"/>
  <c r="M154" i="1"/>
  <c r="P154" i="1" s="1"/>
  <c r="M155" i="1"/>
  <c r="P155" i="1" s="1"/>
  <c r="M157" i="1"/>
  <c r="P157" i="1" s="1"/>
  <c r="M162" i="1"/>
  <c r="P162" i="1" s="1"/>
  <c r="M163" i="1"/>
  <c r="P163" i="1" s="1"/>
  <c r="M164" i="1"/>
  <c r="P164" i="1" s="1"/>
  <c r="M165" i="1"/>
  <c r="P165" i="1" s="1"/>
  <c r="M166" i="1"/>
  <c r="P166" i="1" s="1"/>
  <c r="M167" i="1"/>
  <c r="P167" i="1" s="1"/>
  <c r="M169" i="1"/>
  <c r="P169" i="1" s="1"/>
  <c r="M170" i="1"/>
  <c r="P170" i="1" s="1"/>
  <c r="M171" i="1"/>
  <c r="P171" i="1" s="1"/>
  <c r="M172" i="1"/>
  <c r="P172" i="1" s="1"/>
  <c r="M173" i="1"/>
  <c r="P173" i="1" s="1"/>
  <c r="M174" i="1"/>
  <c r="P174" i="1" s="1"/>
  <c r="M175" i="1"/>
  <c r="P175" i="1" s="1"/>
  <c r="M176" i="1"/>
  <c r="P176" i="1" s="1"/>
  <c r="M177" i="1"/>
  <c r="P177" i="1" s="1"/>
  <c r="M178" i="1"/>
  <c r="P178" i="1" s="1"/>
  <c r="M179" i="1"/>
  <c r="P179" i="1" s="1"/>
  <c r="M180" i="1"/>
  <c r="P180" i="1" s="1"/>
  <c r="M181" i="1"/>
  <c r="P181" i="1" s="1"/>
  <c r="M191" i="1"/>
  <c r="P191" i="1" s="1"/>
  <c r="M192" i="1"/>
  <c r="P192" i="1" s="1"/>
  <c r="M211" i="1"/>
  <c r="P211" i="1" s="1"/>
  <c r="M212" i="1"/>
  <c r="P212" i="1" s="1"/>
  <c r="M213" i="1"/>
  <c r="P213" i="1" s="1"/>
  <c r="M216" i="1"/>
  <c r="P216" i="1" s="1"/>
  <c r="M226" i="1"/>
  <c r="P226" i="1" s="1"/>
  <c r="M237" i="1"/>
  <c r="P237" i="1" s="1"/>
  <c r="M242" i="1"/>
  <c r="P242" i="1" s="1"/>
  <c r="M243" i="1"/>
  <c r="P243" i="1" s="1"/>
  <c r="M246" i="1"/>
  <c r="P246" i="1" s="1"/>
  <c r="M247" i="1"/>
  <c r="P247" i="1" s="1"/>
  <c r="M248" i="1"/>
  <c r="P248" i="1" s="1"/>
  <c r="M249" i="1"/>
  <c r="P249" i="1" s="1"/>
  <c r="M274" i="1"/>
  <c r="P274" i="1" s="1"/>
  <c r="M275" i="1"/>
  <c r="P275" i="1" s="1"/>
  <c r="M277" i="1"/>
  <c r="P277" i="1" s="1"/>
  <c r="M278" i="1"/>
  <c r="P278" i="1" s="1"/>
  <c r="M279" i="1"/>
  <c r="P279" i="1" s="1"/>
  <c r="M280" i="1"/>
  <c r="P280" i="1" s="1"/>
  <c r="M281" i="1"/>
  <c r="P281" i="1" s="1"/>
  <c r="M282" i="1"/>
  <c r="P282" i="1" s="1"/>
  <c r="M283" i="1"/>
  <c r="P283" i="1" s="1"/>
  <c r="M284" i="1"/>
  <c r="P284" i="1" s="1"/>
  <c r="M285" i="1"/>
  <c r="P285" i="1" s="1"/>
  <c r="M286" i="1"/>
  <c r="P286" i="1" s="1"/>
  <c r="M287" i="1"/>
  <c r="P287" i="1" s="1"/>
  <c r="M290" i="1"/>
  <c r="P290" i="1" s="1"/>
  <c r="M293" i="1"/>
  <c r="P293" i="1" s="1"/>
  <c r="M294" i="1"/>
  <c r="P294" i="1" s="1"/>
  <c r="M296" i="1"/>
  <c r="P296" i="1" s="1"/>
  <c r="M297" i="1"/>
  <c r="P297" i="1" s="1"/>
  <c r="M298" i="1"/>
  <c r="P298" i="1" s="1"/>
  <c r="M299" i="1"/>
  <c r="P299" i="1" s="1"/>
  <c r="M300" i="1"/>
  <c r="P300" i="1" s="1"/>
  <c r="M313" i="1"/>
  <c r="P313" i="1" s="1"/>
  <c r="M337" i="1"/>
  <c r="P337" i="1" s="1"/>
  <c r="M338" i="1"/>
  <c r="P338" i="1" s="1"/>
  <c r="M339" i="1"/>
  <c r="P339" i="1" s="1"/>
  <c r="M347" i="1"/>
  <c r="P347" i="1" s="1"/>
  <c r="M348" i="1"/>
  <c r="P348" i="1" s="1"/>
  <c r="M358" i="1"/>
  <c r="P358" i="1" s="1"/>
  <c r="M359" i="1"/>
  <c r="P359" i="1" s="1"/>
  <c r="M360" i="1"/>
  <c r="P360" i="1" s="1"/>
  <c r="M361" i="1"/>
  <c r="P361" i="1" s="1"/>
  <c r="M366" i="1"/>
  <c r="P366" i="1" s="1"/>
  <c r="M368" i="1"/>
  <c r="P368" i="1" s="1"/>
  <c r="M369" i="1"/>
  <c r="P369" i="1" s="1"/>
  <c r="M371" i="1"/>
  <c r="P371" i="1" s="1"/>
  <c r="M372" i="1"/>
  <c r="P372" i="1" s="1"/>
  <c r="M373" i="1"/>
  <c r="P373" i="1" s="1"/>
  <c r="M374" i="1"/>
  <c r="P374" i="1" s="1"/>
  <c r="M375" i="1"/>
  <c r="P375" i="1" s="1"/>
  <c r="M376" i="1"/>
  <c r="P376" i="1" s="1"/>
  <c r="M377" i="1"/>
  <c r="P377" i="1" s="1"/>
  <c r="M378" i="1"/>
  <c r="P378" i="1" s="1"/>
  <c r="M379" i="1"/>
  <c r="P379" i="1" s="1"/>
  <c r="M380" i="1"/>
  <c r="P380" i="1" s="1"/>
  <c r="M381" i="1"/>
  <c r="P381" i="1" s="1"/>
  <c r="M382" i="1"/>
  <c r="P382" i="1" s="1"/>
  <c r="M383" i="1"/>
  <c r="P383" i="1" s="1"/>
  <c r="M384" i="1"/>
  <c r="P384" i="1" s="1"/>
  <c r="M385" i="1"/>
  <c r="P385" i="1" s="1"/>
  <c r="M386" i="1"/>
  <c r="P386" i="1" s="1"/>
  <c r="M387" i="1"/>
  <c r="P387" i="1" s="1"/>
  <c r="M388" i="1"/>
  <c r="P388" i="1" s="1"/>
  <c r="M389" i="1"/>
  <c r="P389" i="1" s="1"/>
  <c r="M394" i="1"/>
  <c r="P394" i="1" s="1"/>
  <c r="M395" i="1"/>
  <c r="P395" i="1" s="1"/>
  <c r="M396" i="1"/>
  <c r="P396" i="1" s="1"/>
  <c r="M397" i="1"/>
  <c r="P397" i="1" s="1"/>
  <c r="M398" i="1"/>
  <c r="P398" i="1" s="1"/>
  <c r="M399" i="1"/>
  <c r="P399" i="1" s="1"/>
  <c r="M400" i="1"/>
  <c r="P400" i="1" s="1"/>
  <c r="M401" i="1"/>
  <c r="P401" i="1" s="1"/>
  <c r="M402" i="1"/>
  <c r="P402" i="1" s="1"/>
  <c r="M403" i="1"/>
  <c r="P403" i="1" s="1"/>
  <c r="M404" i="1"/>
  <c r="P404" i="1" s="1"/>
  <c r="M405" i="1"/>
  <c r="P405" i="1" s="1"/>
  <c r="M407" i="1"/>
  <c r="P407" i="1" s="1"/>
  <c r="M408" i="1"/>
  <c r="P408" i="1" s="1"/>
  <c r="M409" i="1"/>
  <c r="P409" i="1" s="1"/>
  <c r="M410" i="1"/>
  <c r="P410" i="1" s="1"/>
  <c r="M411" i="1"/>
  <c r="P411" i="1" s="1"/>
  <c r="M412" i="1"/>
  <c r="P412" i="1" s="1"/>
  <c r="M413" i="1"/>
  <c r="P413" i="1" s="1"/>
  <c r="M414" i="1"/>
  <c r="P414" i="1" s="1"/>
  <c r="M415" i="1"/>
  <c r="P415" i="1" s="1"/>
  <c r="M416" i="1"/>
  <c r="P416" i="1" s="1"/>
  <c r="M417" i="1"/>
  <c r="P417" i="1" s="1"/>
  <c r="M418" i="1"/>
  <c r="P418" i="1" s="1"/>
  <c r="M425" i="1"/>
  <c r="P425" i="1" s="1"/>
  <c r="M426" i="1"/>
  <c r="P426" i="1" s="1"/>
  <c r="M427" i="1"/>
  <c r="P427" i="1" s="1"/>
  <c r="M428" i="1"/>
  <c r="P428" i="1" s="1"/>
  <c r="M429" i="1"/>
  <c r="P429" i="1" s="1"/>
  <c r="M430" i="1"/>
  <c r="P430" i="1" s="1"/>
  <c r="M435" i="1"/>
  <c r="P435" i="1" s="1"/>
  <c r="M436" i="1"/>
  <c r="P436" i="1" s="1"/>
  <c r="M437" i="1"/>
  <c r="P437" i="1" s="1"/>
  <c r="M446" i="1"/>
  <c r="P446" i="1" s="1"/>
  <c r="M447" i="1"/>
  <c r="P447" i="1" s="1"/>
  <c r="M448" i="1"/>
  <c r="P448" i="1" s="1"/>
  <c r="M449" i="1"/>
  <c r="P449" i="1" s="1"/>
  <c r="M450" i="1"/>
  <c r="P450" i="1" s="1"/>
  <c r="M451" i="1"/>
  <c r="P451" i="1" s="1"/>
  <c r="M452" i="1"/>
  <c r="P452" i="1" s="1"/>
  <c r="M453" i="1"/>
  <c r="P453" i="1" s="1"/>
  <c r="M454" i="1"/>
  <c r="P454" i="1" s="1"/>
  <c r="M455" i="1"/>
  <c r="P455" i="1" s="1"/>
  <c r="M456" i="1"/>
  <c r="P456" i="1" s="1"/>
  <c r="M457" i="1"/>
  <c r="P457" i="1" s="1"/>
  <c r="M458" i="1"/>
  <c r="P458" i="1" s="1"/>
  <c r="M459" i="1"/>
  <c r="P459" i="1" s="1"/>
  <c r="M460" i="1"/>
  <c r="P460" i="1" s="1"/>
  <c r="M461" i="1"/>
  <c r="P461" i="1" s="1"/>
  <c r="M471" i="1"/>
  <c r="P471" i="1" s="1"/>
  <c r="M472" i="1"/>
  <c r="P472" i="1" s="1"/>
  <c r="M473" i="1"/>
  <c r="P473" i="1" s="1"/>
  <c r="M475" i="1"/>
  <c r="P475" i="1" s="1"/>
  <c r="M476" i="1"/>
  <c r="P476" i="1" s="1"/>
  <c r="M477" i="1"/>
  <c r="P477" i="1" s="1"/>
  <c r="M478" i="1"/>
  <c r="P478" i="1" s="1"/>
  <c r="M479" i="1"/>
  <c r="P479" i="1" s="1"/>
  <c r="M480" i="1"/>
  <c r="P480" i="1" s="1"/>
  <c r="M481" i="1"/>
  <c r="P481" i="1" s="1"/>
  <c r="M482" i="1"/>
  <c r="P482" i="1" s="1"/>
  <c r="M483" i="1"/>
  <c r="P483" i="1" s="1"/>
  <c r="M484" i="1"/>
  <c r="P484" i="1" s="1"/>
  <c r="M485" i="1"/>
  <c r="P485" i="1" s="1"/>
  <c r="M487" i="1"/>
  <c r="P487" i="1" s="1"/>
  <c r="M488" i="1"/>
  <c r="P488" i="1" s="1"/>
  <c r="M506" i="1"/>
  <c r="P506" i="1" s="1"/>
  <c r="M507" i="1"/>
  <c r="P507" i="1" s="1"/>
  <c r="M508" i="1"/>
  <c r="P508" i="1" s="1"/>
  <c r="M509" i="1"/>
  <c r="P509" i="1" s="1"/>
  <c r="M510" i="1"/>
  <c r="P510" i="1" s="1"/>
  <c r="M511" i="1"/>
  <c r="P511" i="1" s="1"/>
  <c r="M513" i="1"/>
  <c r="P513" i="1" s="1"/>
  <c r="M514" i="1"/>
  <c r="P514" i="1" s="1"/>
  <c r="M551" i="1"/>
  <c r="P551" i="1" s="1"/>
  <c r="M552" i="1"/>
  <c r="P552" i="1" s="1"/>
  <c r="M555" i="1"/>
  <c r="P555" i="1" s="1"/>
  <c r="M557" i="1"/>
  <c r="P557" i="1" s="1"/>
  <c r="M558" i="1"/>
  <c r="P558" i="1" s="1"/>
  <c r="M559" i="1"/>
  <c r="P559" i="1" s="1"/>
  <c r="M560" i="1"/>
  <c r="P560" i="1" s="1"/>
  <c r="M566" i="1"/>
  <c r="P566" i="1" s="1"/>
  <c r="M567" i="1"/>
  <c r="P567" i="1" s="1"/>
  <c r="M573" i="1"/>
  <c r="P573" i="1" s="1"/>
  <c r="M574" i="1"/>
  <c r="P574" i="1" s="1"/>
  <c r="M575" i="1"/>
  <c r="P575" i="1" s="1"/>
  <c r="M576" i="1"/>
  <c r="P576" i="1" s="1"/>
  <c r="M577" i="1"/>
  <c r="P577" i="1" s="1"/>
  <c r="M578" i="1"/>
  <c r="P578" i="1" s="1"/>
  <c r="M579" i="1"/>
  <c r="P579" i="1" s="1"/>
  <c r="M583" i="1"/>
  <c r="P583" i="1" s="1"/>
  <c r="M584" i="1"/>
  <c r="P584" i="1" s="1"/>
  <c r="M585" i="1"/>
  <c r="P585" i="1" s="1"/>
  <c r="M587" i="1"/>
  <c r="P587" i="1" s="1"/>
  <c r="M588" i="1"/>
  <c r="P588" i="1" s="1"/>
  <c r="M589" i="1"/>
  <c r="P589" i="1" s="1"/>
  <c r="M590" i="1"/>
  <c r="P590" i="1" s="1"/>
  <c r="M591" i="1"/>
  <c r="P591" i="1" s="1"/>
  <c r="M592" i="1"/>
  <c r="P592" i="1" s="1"/>
  <c r="M593" i="1"/>
  <c r="P593" i="1" s="1"/>
  <c r="Q232" i="2" l="1"/>
  <c r="Q109" i="2"/>
  <c r="Q441" i="2"/>
  <c r="M5" i="2"/>
  <c r="P5" i="2" s="1"/>
  <c r="M34" i="2"/>
  <c r="P34" i="2" s="1"/>
  <c r="M94" i="2"/>
  <c r="P94" i="2" s="1"/>
  <c r="Q346" i="2"/>
  <c r="Q501" i="2"/>
  <c r="M31" i="2"/>
  <c r="P31" i="2" s="1"/>
  <c r="M394" i="2"/>
  <c r="P394" i="2" s="1"/>
  <c r="M435" i="2"/>
  <c r="P435" i="2" s="1"/>
  <c r="Q407" i="2"/>
  <c r="Q106" i="2"/>
  <c r="Q543" i="2"/>
  <c r="Q256" i="2"/>
  <c r="Q343" i="2"/>
  <c r="M392" i="2"/>
  <c r="P392" i="2" s="1"/>
  <c r="M305" i="2"/>
  <c r="P305" i="2" s="1"/>
  <c r="M24" i="2"/>
  <c r="P24" i="2" s="1"/>
  <c r="Q225" i="2"/>
  <c r="M233" i="2"/>
  <c r="P233" i="2" s="1"/>
  <c r="Q371" i="2"/>
  <c r="Q516" i="2"/>
  <c r="M18" i="2"/>
  <c r="P18" i="2" s="1"/>
  <c r="Q103" i="2"/>
  <c r="Q131" i="2"/>
  <c r="Q216" i="2"/>
  <c r="M206" i="2"/>
  <c r="P206" i="2" s="1"/>
  <c r="M11" i="2"/>
  <c r="P11" i="2" s="1"/>
  <c r="Q96" i="2"/>
  <c r="Q234" i="2"/>
  <c r="M365" i="2"/>
  <c r="P365" i="2" s="1"/>
  <c r="M303" i="2"/>
  <c r="P303" i="2" s="1"/>
  <c r="Q323" i="2"/>
  <c r="M27" i="2"/>
  <c r="P27" i="2" s="1"/>
  <c r="M97" i="2"/>
  <c r="P97" i="2" s="1"/>
  <c r="Q498" i="2"/>
  <c r="Q519" i="2"/>
  <c r="Q538" i="2"/>
  <c r="Q228" i="2"/>
  <c r="M545" i="2"/>
  <c r="P545" i="2" s="1"/>
  <c r="Q309" i="2"/>
  <c r="M6" i="2"/>
  <c r="P6" i="2" s="1"/>
  <c r="M14" i="2"/>
  <c r="P14" i="2" s="1"/>
  <c r="Q456" i="2"/>
  <c r="Q186" i="2"/>
  <c r="M36" i="2"/>
  <c r="P36" i="2" s="1"/>
  <c r="M255" i="2"/>
  <c r="P255" i="2" s="1"/>
  <c r="Q9" i="2"/>
  <c r="M39" i="2"/>
  <c r="P39" i="2" s="1"/>
  <c r="M30" i="2"/>
  <c r="P30" i="2" s="1"/>
  <c r="M67" i="2"/>
  <c r="P67" i="2" s="1"/>
  <c r="Q424" i="2"/>
  <c r="M223" i="2"/>
  <c r="P223" i="2" s="1"/>
  <c r="Q562" i="2"/>
  <c r="Q525" i="2"/>
  <c r="M15" i="2"/>
  <c r="P15" i="2" s="1"/>
  <c r="M25" i="2"/>
  <c r="P25" i="2" s="1"/>
  <c r="Q93" i="2"/>
  <c r="Q148" i="2"/>
  <c r="M183" i="2"/>
  <c r="P183" i="2" s="1"/>
  <c r="M197" i="2"/>
  <c r="P197" i="2" s="1"/>
  <c r="M202" i="2"/>
  <c r="P202" i="2" s="1"/>
  <c r="Q296" i="2"/>
  <c r="Q332" i="2"/>
  <c r="M345" i="2"/>
  <c r="P345" i="2" s="1"/>
  <c r="M350" i="2"/>
  <c r="P350" i="2" s="1"/>
  <c r="M356" i="2"/>
  <c r="P356" i="2" s="1"/>
  <c r="M425" i="2"/>
  <c r="P425" i="2" s="1"/>
  <c r="M45" i="2"/>
  <c r="P45" i="2" s="1"/>
  <c r="M159" i="2"/>
  <c r="P159" i="2" s="1"/>
  <c r="M264" i="2"/>
  <c r="P264" i="2" s="1"/>
  <c r="Q271" i="2"/>
  <c r="M311" i="2"/>
  <c r="P311" i="2" s="1"/>
  <c r="Q317" i="2"/>
  <c r="M366" i="2"/>
  <c r="P366" i="2" s="1"/>
  <c r="Q475" i="2"/>
  <c r="Q510" i="2"/>
  <c r="M550" i="2"/>
  <c r="P550" i="2" s="1"/>
  <c r="Q119" i="2"/>
  <c r="Q128" i="2"/>
  <c r="M149" i="2"/>
  <c r="P149" i="2" s="1"/>
  <c r="Q224" i="2"/>
  <c r="M230" i="2"/>
  <c r="P230" i="2" s="1"/>
  <c r="M306" i="2"/>
  <c r="P306" i="2" s="1"/>
  <c r="M351" i="2"/>
  <c r="P351" i="2" s="1"/>
  <c r="M357" i="2"/>
  <c r="P357" i="2" s="1"/>
  <c r="M421" i="2"/>
  <c r="P421" i="2" s="1"/>
  <c r="Q444" i="2"/>
  <c r="M12" i="2"/>
  <c r="P12" i="2" s="1"/>
  <c r="M46" i="2"/>
  <c r="P46" i="2" s="1"/>
  <c r="M145" i="2"/>
  <c r="P145" i="2" s="1"/>
  <c r="M189" i="2"/>
  <c r="P189" i="2" s="1"/>
  <c r="M203" i="2"/>
  <c r="P203" i="2" s="1"/>
  <c r="Q239" i="2"/>
  <c r="Q326" i="2"/>
  <c r="Q484" i="2"/>
  <c r="Q504" i="2"/>
  <c r="Q528" i="2"/>
  <c r="M551" i="2"/>
  <c r="P551" i="2" s="1"/>
  <c r="M52" i="2"/>
  <c r="P52" i="2" s="1"/>
  <c r="M68" i="2"/>
  <c r="P68" i="2" s="1"/>
  <c r="M194" i="2"/>
  <c r="P194" i="2" s="1"/>
  <c r="M199" i="2"/>
  <c r="P199" i="2" s="1"/>
  <c r="M220" i="2"/>
  <c r="P220" i="2" s="1"/>
  <c r="M235" i="2"/>
  <c r="P235" i="2" s="1"/>
  <c r="M246" i="2"/>
  <c r="P246" i="2" s="1"/>
  <c r="M302" i="2"/>
  <c r="P302" i="2" s="1"/>
  <c r="M312" i="2"/>
  <c r="P312" i="2" s="1"/>
  <c r="M433" i="2"/>
  <c r="P433" i="2" s="1"/>
  <c r="M17" i="2"/>
  <c r="P17" i="2" s="1"/>
  <c r="M185" i="2"/>
  <c r="P185" i="2" s="1"/>
  <c r="M209" i="2"/>
  <c r="P209" i="2" s="1"/>
  <c r="Q231" i="2"/>
  <c r="Q251" i="2"/>
  <c r="M267" i="2"/>
  <c r="P267" i="2" s="1"/>
  <c r="Q335" i="2"/>
  <c r="M342" i="2"/>
  <c r="P342" i="2" s="1"/>
  <c r="M358" i="2"/>
  <c r="P358" i="2" s="1"/>
  <c r="M391" i="2"/>
  <c r="P391" i="2" s="1"/>
  <c r="M422" i="2"/>
  <c r="P422" i="2" s="1"/>
  <c r="M536" i="2"/>
  <c r="P536" i="2" s="1"/>
  <c r="Q546" i="2"/>
  <c r="M37" i="2"/>
  <c r="P37" i="2" s="1"/>
  <c r="M64" i="2"/>
  <c r="P64" i="2" s="1"/>
  <c r="Q122" i="2"/>
  <c r="M162" i="2"/>
  <c r="P162" i="2" s="1"/>
  <c r="M221" i="2"/>
  <c r="P221" i="2" s="1"/>
  <c r="M226" i="2"/>
  <c r="P226" i="2" s="1"/>
  <c r="M259" i="2"/>
  <c r="P259" i="2" s="1"/>
  <c r="Q274" i="2"/>
  <c r="M308" i="2"/>
  <c r="P308" i="2" s="1"/>
  <c r="Q320" i="2"/>
  <c r="M353" i="2"/>
  <c r="P353" i="2" s="1"/>
  <c r="M363" i="2"/>
  <c r="P363" i="2" s="1"/>
  <c r="Q434" i="2"/>
  <c r="Q478" i="2"/>
  <c r="Q513" i="2"/>
  <c r="M28" i="2"/>
  <c r="P28" i="2" s="1"/>
  <c r="M48" i="2"/>
  <c r="P48" i="2" s="1"/>
  <c r="Q100" i="2"/>
  <c r="M195" i="2"/>
  <c r="P195" i="2" s="1"/>
  <c r="M200" i="2"/>
  <c r="P200" i="2" s="1"/>
  <c r="M205" i="2"/>
  <c r="P205" i="2" s="1"/>
  <c r="M236" i="2"/>
  <c r="P236" i="2" s="1"/>
  <c r="M252" i="2"/>
  <c r="P252" i="2" s="1"/>
  <c r="M268" i="2"/>
  <c r="P268" i="2" s="1"/>
  <c r="Q329" i="2"/>
  <c r="Q487" i="2"/>
  <c r="Q522" i="2"/>
  <c r="M553" i="2"/>
  <c r="P553" i="2" s="1"/>
  <c r="M157" i="2"/>
  <c r="P157" i="2" s="1"/>
  <c r="M191" i="2"/>
  <c r="P191" i="2" s="1"/>
  <c r="Q242" i="2"/>
  <c r="M289" i="2"/>
  <c r="P289" i="2" s="1"/>
  <c r="M354" i="2"/>
  <c r="P354" i="2" s="1"/>
  <c r="M364" i="2"/>
  <c r="P364" i="2" s="1"/>
  <c r="Q450" i="2"/>
  <c r="Q507" i="2"/>
  <c r="Q531" i="2"/>
  <c r="M43" i="2"/>
  <c r="P43" i="2" s="1"/>
  <c r="M65" i="2"/>
  <c r="P65" i="2" s="1"/>
  <c r="Q222" i="2"/>
  <c r="Q472" i="2"/>
  <c r="M554" i="2"/>
  <c r="P554" i="2" s="1"/>
  <c r="Q116" i="2"/>
  <c r="Q125" i="2"/>
  <c r="Q134" i="2"/>
  <c r="Q196" i="2"/>
  <c r="M201" i="2"/>
  <c r="P201" i="2" s="1"/>
  <c r="M211" i="2"/>
  <c r="P211" i="2" s="1"/>
  <c r="Q237" i="2"/>
  <c r="Q481" i="2"/>
  <c r="M3" i="2"/>
  <c r="P3" i="2" s="1"/>
  <c r="M160" i="2"/>
  <c r="P160" i="2" s="1"/>
  <c r="Q160" i="2"/>
  <c r="Q432" i="2"/>
  <c r="M432" i="2"/>
  <c r="P432" i="2" s="1"/>
  <c r="Q240" i="2"/>
  <c r="M240" i="2"/>
  <c r="P240" i="2" s="1"/>
  <c r="Q47" i="2"/>
  <c r="M47" i="2"/>
  <c r="P47" i="2" s="1"/>
  <c r="Q328" i="2"/>
  <c r="M328" i="2"/>
  <c r="P328" i="2" s="1"/>
  <c r="Q229" i="2"/>
  <c r="M229" i="2"/>
  <c r="P229" i="2" s="1"/>
  <c r="Q517" i="2"/>
  <c r="M517" i="2"/>
  <c r="P517" i="2" s="1"/>
  <c r="Q451" i="2"/>
  <c r="M451" i="2"/>
  <c r="P451" i="2" s="1"/>
  <c r="Q44" i="2"/>
  <c r="M44" i="2"/>
  <c r="P44" i="2" s="1"/>
  <c r="Q153" i="2"/>
  <c r="M153" i="2"/>
  <c r="P153" i="2" s="1"/>
  <c r="Q327" i="2"/>
  <c r="M327" i="2"/>
  <c r="P327" i="2" s="1"/>
  <c r="Q485" i="2"/>
  <c r="M485" i="2"/>
  <c r="P485" i="2" s="1"/>
  <c r="Q502" i="2"/>
  <c r="M502" i="2"/>
  <c r="P502" i="2" s="1"/>
  <c r="M114" i="2"/>
  <c r="P114" i="2" s="1"/>
  <c r="M190" i="2"/>
  <c r="P190" i="2" s="1"/>
  <c r="M210" i="2"/>
  <c r="P210" i="2" s="1"/>
  <c r="M218" i="2"/>
  <c r="P218" i="2" s="1"/>
  <c r="M273" i="2"/>
  <c r="P273" i="2" s="1"/>
  <c r="Q322" i="2"/>
  <c r="M322" i="2"/>
  <c r="P322" i="2" s="1"/>
  <c r="Q336" i="2"/>
  <c r="M336" i="2"/>
  <c r="P336" i="2" s="1"/>
  <c r="Q511" i="2"/>
  <c r="M511" i="2"/>
  <c r="P511" i="2" s="1"/>
  <c r="M552" i="2"/>
  <c r="P552" i="2" s="1"/>
  <c r="Q532" i="2"/>
  <c r="M532" i="2"/>
  <c r="P532" i="2" s="1"/>
  <c r="M95" i="2"/>
  <c r="P95" i="2" s="1"/>
  <c r="M147" i="2"/>
  <c r="P147" i="2" s="1"/>
  <c r="M150" i="2"/>
  <c r="P150" i="2" s="1"/>
  <c r="M184" i="2"/>
  <c r="P184" i="2" s="1"/>
  <c r="M187" i="2"/>
  <c r="P187" i="2" s="1"/>
  <c r="M207" i="2"/>
  <c r="P207" i="2" s="1"/>
  <c r="M241" i="2"/>
  <c r="P241" i="2" s="1"/>
  <c r="M253" i="2"/>
  <c r="P253" i="2" s="1"/>
  <c r="M261" i="2"/>
  <c r="P261" i="2" s="1"/>
  <c r="M265" i="2"/>
  <c r="P265" i="2" s="1"/>
  <c r="Q315" i="2"/>
  <c r="M315" i="2"/>
  <c r="P315" i="2" s="1"/>
  <c r="Q337" i="2"/>
  <c r="M337" i="2"/>
  <c r="P337" i="2" s="1"/>
  <c r="M352" i="2"/>
  <c r="P352" i="2" s="1"/>
  <c r="Q445" i="2"/>
  <c r="M445" i="2"/>
  <c r="P445" i="2" s="1"/>
  <c r="Q473" i="2"/>
  <c r="M473" i="2"/>
  <c r="P473" i="2" s="1"/>
  <c r="Q526" i="2"/>
  <c r="M526" i="2"/>
  <c r="P526" i="2" s="1"/>
  <c r="M16" i="2"/>
  <c r="P16" i="2" s="1"/>
  <c r="M7" i="2"/>
  <c r="P7" i="2" s="1"/>
  <c r="M23" i="2"/>
  <c r="P23" i="2" s="1"/>
  <c r="M26" i="2"/>
  <c r="P26" i="2" s="1"/>
  <c r="M29" i="2"/>
  <c r="P29" i="2" s="1"/>
  <c r="M32" i="2"/>
  <c r="P32" i="2" s="1"/>
  <c r="Q41" i="2"/>
  <c r="M63" i="2"/>
  <c r="P63" i="2" s="1"/>
  <c r="M66" i="2"/>
  <c r="P66" i="2" s="1"/>
  <c r="M69" i="2"/>
  <c r="P69" i="2" s="1"/>
  <c r="Q72" i="2"/>
  <c r="Q101" i="2"/>
  <c r="Q104" i="2"/>
  <c r="Q107" i="2"/>
  <c r="Q117" i="2"/>
  <c r="Q120" i="2"/>
  <c r="Q123" i="2"/>
  <c r="Q126" i="2"/>
  <c r="Q129" i="2"/>
  <c r="Q132" i="2"/>
  <c r="M154" i="2"/>
  <c r="P154" i="2" s="1"/>
  <c r="M161" i="2"/>
  <c r="P161" i="2" s="1"/>
  <c r="M169" i="2"/>
  <c r="P169" i="2" s="1"/>
  <c r="M204" i="2"/>
  <c r="P204" i="2" s="1"/>
  <c r="M245" i="2"/>
  <c r="P245" i="2" s="1"/>
  <c r="Q292" i="2"/>
  <c r="M292" i="2"/>
  <c r="P292" i="2" s="1"/>
  <c r="Q316" i="2"/>
  <c r="M316" i="2"/>
  <c r="P316" i="2" s="1"/>
  <c r="Q330" i="2"/>
  <c r="M330" i="2"/>
  <c r="P330" i="2" s="1"/>
  <c r="Q505" i="2"/>
  <c r="M505" i="2"/>
  <c r="P505" i="2" s="1"/>
  <c r="Q10" i="2"/>
  <c r="Q38" i="2"/>
  <c r="Q98" i="2"/>
  <c r="Q293" i="2"/>
  <c r="M293" i="2"/>
  <c r="P293" i="2" s="1"/>
  <c r="Q331" i="2"/>
  <c r="M331" i="2"/>
  <c r="P331" i="2" s="1"/>
  <c r="Q439" i="2"/>
  <c r="M439" i="2"/>
  <c r="P439" i="2" s="1"/>
  <c r="Q520" i="2"/>
  <c r="M520" i="2"/>
  <c r="P520" i="2" s="1"/>
  <c r="Q563" i="2"/>
  <c r="M563" i="2"/>
  <c r="P563" i="2" s="1"/>
  <c r="M13" i="2"/>
  <c r="P13" i="2" s="1"/>
  <c r="M35" i="2"/>
  <c r="P35" i="2" s="1"/>
  <c r="M20" i="2"/>
  <c r="P20" i="2" s="1"/>
  <c r="M60" i="2"/>
  <c r="P60" i="2" s="1"/>
  <c r="M73" i="2"/>
  <c r="P73" i="2" s="1"/>
  <c r="M102" i="2"/>
  <c r="P102" i="2" s="1"/>
  <c r="M105" i="2"/>
  <c r="P105" i="2" s="1"/>
  <c r="M108" i="2"/>
  <c r="P108" i="2" s="1"/>
  <c r="M115" i="2"/>
  <c r="P115" i="2" s="1"/>
  <c r="M118" i="2"/>
  <c r="P118" i="2" s="1"/>
  <c r="M121" i="2"/>
  <c r="P121" i="2" s="1"/>
  <c r="M124" i="2"/>
  <c r="P124" i="2" s="1"/>
  <c r="M127" i="2"/>
  <c r="P127" i="2" s="1"/>
  <c r="M130" i="2"/>
  <c r="P130" i="2" s="1"/>
  <c r="M133" i="2"/>
  <c r="P133" i="2" s="1"/>
  <c r="M188" i="2"/>
  <c r="P188" i="2" s="1"/>
  <c r="M198" i="2"/>
  <c r="P198" i="2" s="1"/>
  <c r="M208" i="2"/>
  <c r="P208" i="2" s="1"/>
  <c r="M215" i="2"/>
  <c r="P215" i="2" s="1"/>
  <c r="M258" i="2"/>
  <c r="P258" i="2" s="1"/>
  <c r="M262" i="2"/>
  <c r="P262" i="2" s="1"/>
  <c r="M270" i="2"/>
  <c r="P270" i="2" s="1"/>
  <c r="Q324" i="2"/>
  <c r="M324" i="2"/>
  <c r="P324" i="2" s="1"/>
  <c r="M368" i="2"/>
  <c r="P368" i="2" s="1"/>
  <c r="Q482" i="2"/>
  <c r="M482" i="2"/>
  <c r="P482" i="2" s="1"/>
  <c r="Q499" i="2"/>
  <c r="M499" i="2"/>
  <c r="P499" i="2" s="1"/>
  <c r="Q277" i="2"/>
  <c r="M277" i="2"/>
  <c r="P277" i="2" s="1"/>
  <c r="Q219" i="2"/>
  <c r="Q325" i="2"/>
  <c r="M325" i="2"/>
  <c r="P325" i="2" s="1"/>
  <c r="Q514" i="2"/>
  <c r="M514" i="2"/>
  <c r="P514" i="2" s="1"/>
  <c r="Q318" i="2"/>
  <c r="M318" i="2"/>
  <c r="P318" i="2" s="1"/>
  <c r="Q476" i="2"/>
  <c r="M476" i="2"/>
  <c r="P476" i="2" s="1"/>
  <c r="Q529" i="2"/>
  <c r="M529" i="2"/>
  <c r="P529" i="2" s="1"/>
  <c r="M535" i="2"/>
  <c r="P535" i="2" s="1"/>
  <c r="Q319" i="2"/>
  <c r="M319" i="2"/>
  <c r="P319" i="2" s="1"/>
  <c r="Q333" i="2"/>
  <c r="M333" i="2"/>
  <c r="P333" i="2" s="1"/>
  <c r="Q508" i="2"/>
  <c r="M508" i="2"/>
  <c r="P508" i="2" s="1"/>
  <c r="Q321" i="2"/>
  <c r="M321" i="2"/>
  <c r="P321" i="2" s="1"/>
  <c r="Q479" i="2"/>
  <c r="M479" i="2"/>
  <c r="P479" i="2" s="1"/>
  <c r="Q334" i="2"/>
  <c r="M334" i="2"/>
  <c r="P334" i="2" s="1"/>
  <c r="M355" i="2"/>
  <c r="P355" i="2" s="1"/>
  <c r="Q442" i="2"/>
  <c r="M442" i="2"/>
  <c r="P442" i="2" s="1"/>
  <c r="Q523" i="2"/>
  <c r="M523" i="2"/>
  <c r="P523" i="2" s="1"/>
  <c r="M440" i="2"/>
  <c r="P440" i="2" s="1"/>
  <c r="M443" i="2"/>
  <c r="P443" i="2" s="1"/>
  <c r="M446" i="2"/>
  <c r="P446" i="2" s="1"/>
  <c r="M452" i="2"/>
  <c r="P452" i="2" s="1"/>
  <c r="M471" i="2"/>
  <c r="P471" i="2" s="1"/>
  <c r="M474" i="2"/>
  <c r="P474" i="2" s="1"/>
  <c r="M477" i="2"/>
  <c r="P477" i="2" s="1"/>
  <c r="M480" i="2"/>
  <c r="P480" i="2" s="1"/>
  <c r="M483" i="2"/>
  <c r="P483" i="2" s="1"/>
  <c r="M486" i="2"/>
  <c r="P486" i="2" s="1"/>
  <c r="M497" i="2"/>
  <c r="P497" i="2" s="1"/>
  <c r="M500" i="2"/>
  <c r="P500" i="2" s="1"/>
  <c r="M503" i="2"/>
  <c r="P503" i="2" s="1"/>
  <c r="M506" i="2"/>
  <c r="P506" i="2" s="1"/>
  <c r="M509" i="2"/>
  <c r="P509" i="2" s="1"/>
  <c r="M512" i="2"/>
  <c r="P512" i="2" s="1"/>
  <c r="M515" i="2"/>
  <c r="P515" i="2" s="1"/>
  <c r="M518" i="2"/>
  <c r="P518" i="2" s="1"/>
  <c r="M521" i="2"/>
  <c r="P521" i="2" s="1"/>
  <c r="M524" i="2"/>
  <c r="P524" i="2" s="1"/>
  <c r="M527" i="2"/>
  <c r="P527" i="2" s="1"/>
  <c r="M530" i="2"/>
  <c r="P530" i="2" s="1"/>
  <c r="M564" i="2"/>
  <c r="P564" i="2" s="1"/>
  <c r="M290" i="2"/>
  <c r="P290" i="2" s="1"/>
  <c r="M304" i="2"/>
  <c r="P304" i="2" s="1"/>
  <c r="M307" i="2"/>
  <c r="P307" i="2" s="1"/>
  <c r="M310" i="2"/>
  <c r="P310" i="2" s="1"/>
  <c r="M313" i="2"/>
  <c r="P313" i="2" s="1"/>
  <c r="M341" i="2"/>
  <c r="P341" i="2" s="1"/>
  <c r="M344" i="2"/>
  <c r="P344" i="2" s="1"/>
  <c r="M347" i="2"/>
  <c r="P347" i="2" s="1"/>
  <c r="M393" i="2"/>
  <c r="P393" i="2" s="1"/>
  <c r="M420" i="2"/>
  <c r="P420" i="2" s="1"/>
  <c r="M423" i="2"/>
  <c r="P423" i="2" s="1"/>
  <c r="M544" i="2"/>
  <c r="P544" i="2" s="1"/>
  <c r="M547" i="2"/>
  <c r="P547" i="2" s="1"/>
  <c r="M568" i="2"/>
  <c r="P568" i="2" s="1"/>
  <c r="M254" i="2"/>
  <c r="P254" i="2" s="1"/>
  <c r="M257" i="2"/>
  <c r="P257" i="2" s="1"/>
  <c r="M260" i="2"/>
  <c r="P260" i="2" s="1"/>
  <c r="M263" i="2"/>
  <c r="P263" i="2" s="1"/>
  <c r="M266" i="2"/>
  <c r="P266" i="2" s="1"/>
  <c r="M269" i="2"/>
  <c r="P269" i="2" s="1"/>
  <c r="M272" i="2"/>
  <c r="P272" i="2" s="1"/>
  <c r="M468" i="2"/>
  <c r="P468" i="2" s="1"/>
  <c r="M494" i="2"/>
  <c r="P494" i="2" s="1"/>
  <c r="M576" i="2"/>
  <c r="P576" i="2" s="1"/>
  <c r="C594" i="1"/>
  <c r="C586" i="1"/>
  <c r="C581" i="1"/>
  <c r="C582" i="1"/>
  <c r="C580" i="1"/>
  <c r="C570" i="1"/>
  <c r="C571" i="1"/>
  <c r="C572" i="1"/>
  <c r="C569" i="1"/>
  <c r="C568" i="1"/>
  <c r="C562" i="1"/>
  <c r="C563" i="1"/>
  <c r="C564" i="1"/>
  <c r="C565" i="1"/>
  <c r="C561" i="1"/>
  <c r="C556" i="1"/>
  <c r="C554" i="1"/>
  <c r="C553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15" i="1"/>
  <c r="C512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489" i="1"/>
  <c r="C486" i="1"/>
  <c r="C474" i="1"/>
  <c r="C463" i="1"/>
  <c r="C464" i="1"/>
  <c r="C465" i="1"/>
  <c r="C466" i="1"/>
  <c r="C467" i="1"/>
  <c r="C468" i="1"/>
  <c r="C469" i="1"/>
  <c r="C470" i="1"/>
  <c r="C462" i="1"/>
  <c r="C439" i="1"/>
  <c r="C440" i="1"/>
  <c r="C441" i="1"/>
  <c r="C442" i="1"/>
  <c r="C443" i="1"/>
  <c r="C444" i="1"/>
  <c r="C445" i="1"/>
  <c r="C438" i="1"/>
  <c r="C432" i="1"/>
  <c r="C433" i="1"/>
  <c r="C434" i="1"/>
  <c r="C431" i="1"/>
  <c r="C420" i="1"/>
  <c r="C421" i="1"/>
  <c r="C422" i="1"/>
  <c r="C423" i="1"/>
  <c r="C424" i="1"/>
  <c r="C419" i="1"/>
  <c r="C406" i="1"/>
  <c r="C391" i="1"/>
  <c r="C392" i="1"/>
  <c r="C393" i="1"/>
  <c r="C390" i="1"/>
  <c r="C370" i="1"/>
  <c r="C367" i="1"/>
  <c r="C363" i="1"/>
  <c r="C364" i="1"/>
  <c r="C365" i="1"/>
  <c r="C362" i="1"/>
  <c r="C350" i="1"/>
  <c r="C351" i="1"/>
  <c r="C352" i="1"/>
  <c r="C353" i="1"/>
  <c r="C354" i="1"/>
  <c r="C355" i="1"/>
  <c r="C356" i="1"/>
  <c r="C357" i="1"/>
  <c r="C349" i="1"/>
  <c r="C341" i="1"/>
  <c r="C342" i="1"/>
  <c r="C343" i="1"/>
  <c r="C344" i="1"/>
  <c r="C345" i="1"/>
  <c r="C346" i="1"/>
  <c r="C340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14" i="1"/>
  <c r="C302" i="1"/>
  <c r="C303" i="1"/>
  <c r="C304" i="1"/>
  <c r="C305" i="1"/>
  <c r="C306" i="1"/>
  <c r="C307" i="1"/>
  <c r="C308" i="1"/>
  <c r="C309" i="1"/>
  <c r="C310" i="1"/>
  <c r="C311" i="1"/>
  <c r="C312" i="1"/>
  <c r="C301" i="1"/>
  <c r="C295" i="1"/>
  <c r="C292" i="1"/>
  <c r="C291" i="1"/>
  <c r="C289" i="1"/>
  <c r="C288" i="1"/>
  <c r="C276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51" i="1"/>
  <c r="C252" i="1"/>
  <c r="C253" i="1"/>
  <c r="C254" i="1"/>
  <c r="C255" i="1"/>
  <c r="C256" i="1"/>
  <c r="C257" i="1"/>
  <c r="C258" i="1"/>
  <c r="C259" i="1"/>
  <c r="C260" i="1"/>
  <c r="C250" i="1"/>
  <c r="C245" i="1"/>
  <c r="C244" i="1"/>
  <c r="C239" i="1"/>
  <c r="C240" i="1"/>
  <c r="C241" i="1"/>
  <c r="C238" i="1"/>
  <c r="C228" i="1"/>
  <c r="C229" i="1"/>
  <c r="C230" i="1"/>
  <c r="C231" i="1"/>
  <c r="C232" i="1"/>
  <c r="C233" i="1"/>
  <c r="C234" i="1"/>
  <c r="C235" i="1"/>
  <c r="C236" i="1"/>
  <c r="C227" i="1"/>
  <c r="C218" i="1"/>
  <c r="C219" i="1"/>
  <c r="C220" i="1"/>
  <c r="C221" i="1"/>
  <c r="C222" i="1"/>
  <c r="C223" i="1"/>
  <c r="C224" i="1"/>
  <c r="C225" i="1"/>
  <c r="C217" i="1"/>
  <c r="C215" i="1"/>
  <c r="C214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193" i="1"/>
  <c r="C183" i="1"/>
  <c r="C184" i="1"/>
  <c r="C185" i="1"/>
  <c r="C186" i="1"/>
  <c r="C187" i="1"/>
  <c r="C188" i="1"/>
  <c r="C189" i="1"/>
  <c r="C190" i="1"/>
  <c r="C182" i="1"/>
  <c r="C168" i="1"/>
  <c r="C159" i="1"/>
  <c r="C160" i="1"/>
  <c r="C161" i="1"/>
  <c r="C158" i="1"/>
  <c r="C156" i="1"/>
  <c r="C153" i="1"/>
  <c r="C152" i="1"/>
  <c r="C147" i="1"/>
  <c r="C148" i="1"/>
  <c r="C149" i="1"/>
  <c r="C146" i="1"/>
  <c r="C144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13" i="1"/>
  <c r="C64" i="1"/>
  <c r="C59" i="1"/>
  <c r="C62" i="1"/>
  <c r="C63" i="1"/>
  <c r="C100" i="1"/>
  <c r="C101" i="1"/>
  <c r="C102" i="1"/>
  <c r="C103" i="1"/>
  <c r="C104" i="1"/>
  <c r="C105" i="1"/>
  <c r="C106" i="1"/>
  <c r="C107" i="1"/>
  <c r="C108" i="1"/>
  <c r="C99" i="1"/>
  <c r="C93" i="1"/>
  <c r="C94" i="1"/>
  <c r="C95" i="1"/>
  <c r="C96" i="1"/>
  <c r="C97" i="1"/>
  <c r="C92" i="1"/>
  <c r="C72" i="1"/>
  <c r="C71" i="1"/>
  <c r="C66" i="1"/>
  <c r="C67" i="1"/>
  <c r="C68" i="1"/>
  <c r="C65" i="1"/>
  <c r="C51" i="1"/>
  <c r="C43" i="1"/>
  <c r="C44" i="1"/>
  <c r="C45" i="1"/>
  <c r="C46" i="1"/>
  <c r="C47" i="1"/>
  <c r="C42" i="1"/>
  <c r="C40" i="1"/>
  <c r="C34" i="1"/>
  <c r="C35" i="1"/>
  <c r="C36" i="1"/>
  <c r="C37" i="1"/>
  <c r="C38" i="1"/>
  <c r="C33" i="1"/>
  <c r="C23" i="1"/>
  <c r="C24" i="1"/>
  <c r="C25" i="1"/>
  <c r="C26" i="1"/>
  <c r="C27" i="1"/>
  <c r="C28" i="1"/>
  <c r="C29" i="1"/>
  <c r="C30" i="1"/>
  <c r="C31" i="1"/>
  <c r="C22" i="1"/>
  <c r="C19" i="1"/>
  <c r="C9" i="1"/>
  <c r="C10" i="1"/>
  <c r="C11" i="1"/>
  <c r="C12" i="1"/>
  <c r="C13" i="1"/>
  <c r="C14" i="1"/>
  <c r="C15" i="1"/>
  <c r="C16" i="1"/>
  <c r="C17" i="1"/>
  <c r="C8" i="1"/>
  <c r="C5" i="1"/>
  <c r="C6" i="1"/>
  <c r="C4" i="1"/>
  <c r="C2" i="1"/>
  <c r="M96" i="1" l="1"/>
  <c r="P96" i="1" s="1"/>
  <c r="Q96" i="1"/>
  <c r="M493" i="1"/>
  <c r="P493" i="1" s="1"/>
  <c r="Q493" i="1"/>
  <c r="M12" i="1"/>
  <c r="P12" i="1" s="1"/>
  <c r="Q12" i="1"/>
  <c r="M25" i="1"/>
  <c r="P25" i="1" s="1"/>
  <c r="Q25" i="1"/>
  <c r="M46" i="1"/>
  <c r="P46" i="1" s="1"/>
  <c r="Q46" i="1"/>
  <c r="M97" i="1"/>
  <c r="P97" i="1" s="1"/>
  <c r="Q97" i="1"/>
  <c r="M102" i="1"/>
  <c r="P102" i="1" s="1"/>
  <c r="Q102" i="1"/>
  <c r="M129" i="1"/>
  <c r="P129" i="1" s="1"/>
  <c r="Q129" i="1"/>
  <c r="M117" i="1"/>
  <c r="P117" i="1" s="1"/>
  <c r="Q117" i="1"/>
  <c r="M158" i="1"/>
  <c r="P158" i="1" s="1"/>
  <c r="Q158" i="1"/>
  <c r="M184" i="1"/>
  <c r="P184" i="1" s="1"/>
  <c r="Q184" i="1"/>
  <c r="M201" i="1"/>
  <c r="P201" i="1" s="1"/>
  <c r="Q201" i="1"/>
  <c r="M224" i="1"/>
  <c r="P224" i="1" s="1"/>
  <c r="Q224" i="1"/>
  <c r="M232" i="1"/>
  <c r="P232" i="1" s="1"/>
  <c r="Q232" i="1"/>
  <c r="M260" i="1"/>
  <c r="P260" i="1" s="1"/>
  <c r="Q260" i="1"/>
  <c r="M271" i="1"/>
  <c r="P271" i="1" s="1"/>
  <c r="Q271" i="1"/>
  <c r="M288" i="1"/>
  <c r="P288" i="1" s="1"/>
  <c r="Q288" i="1"/>
  <c r="M306" i="1"/>
  <c r="P306" i="1" s="1"/>
  <c r="Q306" i="1"/>
  <c r="M330" i="1"/>
  <c r="P330" i="1" s="1"/>
  <c r="Q330" i="1"/>
  <c r="M318" i="1"/>
  <c r="P318" i="1" s="1"/>
  <c r="Q318" i="1"/>
  <c r="M357" i="1"/>
  <c r="P357" i="1" s="1"/>
  <c r="Q357" i="1"/>
  <c r="M367" i="1"/>
  <c r="P367" i="1" s="1"/>
  <c r="Q367" i="1"/>
  <c r="M420" i="1"/>
  <c r="P420" i="1" s="1"/>
  <c r="Q420" i="1"/>
  <c r="M439" i="1"/>
  <c r="P439" i="1" s="1"/>
  <c r="Q439" i="1"/>
  <c r="M489" i="1"/>
  <c r="P489" i="1" s="1"/>
  <c r="Q489" i="1"/>
  <c r="M494" i="1"/>
  <c r="P494" i="1" s="1"/>
  <c r="Q494" i="1"/>
  <c r="M524" i="1"/>
  <c r="P524" i="1" s="1"/>
  <c r="Q524" i="1"/>
  <c r="M547" i="1"/>
  <c r="P547" i="1" s="1"/>
  <c r="Q547" i="1"/>
  <c r="M535" i="1"/>
  <c r="P535" i="1" s="1"/>
  <c r="Q535" i="1"/>
  <c r="M563" i="1"/>
  <c r="P563" i="1" s="1"/>
  <c r="Q563" i="1"/>
  <c r="M259" i="1"/>
  <c r="P259" i="1" s="1"/>
  <c r="Q259" i="1"/>
  <c r="M505" i="1"/>
  <c r="P505" i="1" s="1"/>
  <c r="Q505" i="1"/>
  <c r="M546" i="1"/>
  <c r="P546" i="1" s="1"/>
  <c r="Q546" i="1"/>
  <c r="M534" i="1"/>
  <c r="P534" i="1" s="1"/>
  <c r="Q534" i="1"/>
  <c r="M562" i="1"/>
  <c r="P562" i="1" s="1"/>
  <c r="Q562" i="1"/>
  <c r="M161" i="1"/>
  <c r="P161" i="1" s="1"/>
  <c r="Q161" i="1"/>
  <c r="M289" i="1"/>
  <c r="P289" i="1" s="1"/>
  <c r="Q289" i="1"/>
  <c r="M44" i="1"/>
  <c r="P44" i="1" s="1"/>
  <c r="Q44" i="1"/>
  <c r="M95" i="1"/>
  <c r="P95" i="1" s="1"/>
  <c r="Q95" i="1"/>
  <c r="M100" i="1"/>
  <c r="P100" i="1" s="1"/>
  <c r="Q100" i="1"/>
  <c r="M127" i="1"/>
  <c r="P127" i="1" s="1"/>
  <c r="Q127" i="1"/>
  <c r="M115" i="1"/>
  <c r="P115" i="1" s="1"/>
  <c r="Q115" i="1"/>
  <c r="M160" i="1"/>
  <c r="P160" i="1" s="1"/>
  <c r="Q160" i="1"/>
  <c r="M193" i="1"/>
  <c r="P193" i="1" s="1"/>
  <c r="Q193" i="1"/>
  <c r="M199" i="1"/>
  <c r="P199" i="1" s="1"/>
  <c r="Q199" i="1"/>
  <c r="M222" i="1"/>
  <c r="P222" i="1" s="1"/>
  <c r="Q222" i="1"/>
  <c r="M230" i="1"/>
  <c r="P230" i="1" s="1"/>
  <c r="Q230" i="1"/>
  <c r="M258" i="1"/>
  <c r="P258" i="1" s="1"/>
  <c r="Q258" i="1"/>
  <c r="M269" i="1"/>
  <c r="P269" i="1" s="1"/>
  <c r="Q269" i="1"/>
  <c r="M291" i="1"/>
  <c r="P291" i="1" s="1"/>
  <c r="Q291" i="1"/>
  <c r="M304" i="1"/>
  <c r="P304" i="1" s="1"/>
  <c r="Q304" i="1"/>
  <c r="M328" i="1"/>
  <c r="P328" i="1" s="1"/>
  <c r="Q328" i="1"/>
  <c r="M316" i="1"/>
  <c r="P316" i="1" s="1"/>
  <c r="Q316" i="1"/>
  <c r="M355" i="1"/>
  <c r="P355" i="1" s="1"/>
  <c r="Q355" i="1"/>
  <c r="M390" i="1"/>
  <c r="P390" i="1" s="1"/>
  <c r="Q390" i="1"/>
  <c r="M434" i="1"/>
  <c r="P434" i="1" s="1"/>
  <c r="Q434" i="1"/>
  <c r="M470" i="1"/>
  <c r="P470" i="1" s="1"/>
  <c r="Q470" i="1"/>
  <c r="M504" i="1"/>
  <c r="P504" i="1" s="1"/>
  <c r="Q504" i="1"/>
  <c r="M492" i="1"/>
  <c r="P492" i="1" s="1"/>
  <c r="Q492" i="1"/>
  <c r="M522" i="1"/>
  <c r="P522" i="1" s="1"/>
  <c r="Q522" i="1"/>
  <c r="M545" i="1"/>
  <c r="P545" i="1" s="1"/>
  <c r="Q545" i="1"/>
  <c r="M533" i="1"/>
  <c r="P533" i="1" s="1"/>
  <c r="Q533" i="1"/>
  <c r="M568" i="1"/>
  <c r="P568" i="1" s="1"/>
  <c r="Q568" i="1"/>
  <c r="M183" i="1"/>
  <c r="P183" i="1" s="1"/>
  <c r="Q183" i="1"/>
  <c r="M305" i="1"/>
  <c r="P305" i="1" s="1"/>
  <c r="Q305" i="1"/>
  <c r="M210" i="1"/>
  <c r="P210" i="1" s="1"/>
  <c r="Q210" i="1"/>
  <c r="M268" i="1"/>
  <c r="P268" i="1" s="1"/>
  <c r="Q268" i="1"/>
  <c r="M315" i="1"/>
  <c r="P315" i="1" s="1"/>
  <c r="Q315" i="1"/>
  <c r="M354" i="1"/>
  <c r="P354" i="1" s="1"/>
  <c r="Q354" i="1"/>
  <c r="M393" i="1"/>
  <c r="P393" i="1" s="1"/>
  <c r="Q393" i="1"/>
  <c r="M433" i="1"/>
  <c r="P433" i="1" s="1"/>
  <c r="Q433" i="1"/>
  <c r="M469" i="1"/>
  <c r="P469" i="1" s="1"/>
  <c r="Q469" i="1"/>
  <c r="M503" i="1"/>
  <c r="P503" i="1" s="1"/>
  <c r="Q503" i="1"/>
  <c r="M491" i="1"/>
  <c r="P491" i="1" s="1"/>
  <c r="Q491" i="1"/>
  <c r="M521" i="1"/>
  <c r="P521" i="1" s="1"/>
  <c r="Q521" i="1"/>
  <c r="M544" i="1"/>
  <c r="P544" i="1" s="1"/>
  <c r="Q544" i="1"/>
  <c r="M532" i="1"/>
  <c r="P532" i="1" s="1"/>
  <c r="Q532" i="1"/>
  <c r="M569" i="1"/>
  <c r="P569" i="1" s="1"/>
  <c r="Q569" i="1"/>
  <c r="M24" i="1"/>
  <c r="P24" i="1" s="1"/>
  <c r="Q24" i="1"/>
  <c r="M462" i="1"/>
  <c r="P462" i="1" s="1"/>
  <c r="Q462" i="1"/>
  <c r="M221" i="1"/>
  <c r="P221" i="1" s="1"/>
  <c r="Q221" i="1"/>
  <c r="M144" i="1"/>
  <c r="P144" i="1" s="1"/>
  <c r="Q144" i="1"/>
  <c r="M256" i="1"/>
  <c r="P256" i="1" s="1"/>
  <c r="Q256" i="1"/>
  <c r="M302" i="1"/>
  <c r="P302" i="1" s="1"/>
  <c r="Q302" i="1"/>
  <c r="M340" i="1"/>
  <c r="P340" i="1" s="1"/>
  <c r="Q340" i="1"/>
  <c r="M353" i="1"/>
  <c r="P353" i="1" s="1"/>
  <c r="Q353" i="1"/>
  <c r="M392" i="1"/>
  <c r="P392" i="1" s="1"/>
  <c r="Q392" i="1"/>
  <c r="M468" i="1"/>
  <c r="P468" i="1" s="1"/>
  <c r="Q468" i="1"/>
  <c r="M490" i="1"/>
  <c r="P490" i="1" s="1"/>
  <c r="Q490" i="1"/>
  <c r="M520" i="1"/>
  <c r="P520" i="1" s="1"/>
  <c r="Q520" i="1"/>
  <c r="M543" i="1"/>
  <c r="P543" i="1" s="1"/>
  <c r="Q543" i="1"/>
  <c r="M531" i="1"/>
  <c r="P531" i="1" s="1"/>
  <c r="Q531" i="1"/>
  <c r="M572" i="1"/>
  <c r="P572" i="1" s="1"/>
  <c r="Q572" i="1"/>
  <c r="M223" i="1"/>
  <c r="P223" i="1" s="1"/>
  <c r="Q223" i="1"/>
  <c r="M370" i="1"/>
  <c r="P370" i="1" s="1"/>
  <c r="Q370" i="1"/>
  <c r="M23" i="1"/>
  <c r="P23" i="1" s="1"/>
  <c r="Q23" i="1"/>
  <c r="M33" i="1"/>
  <c r="P33" i="1" s="1"/>
  <c r="Q33" i="1"/>
  <c r="M94" i="1"/>
  <c r="P94" i="1" s="1"/>
  <c r="Q94" i="1"/>
  <c r="M159" i="1"/>
  <c r="P159" i="1" s="1"/>
  <c r="Q159" i="1"/>
  <c r="M257" i="1"/>
  <c r="P257" i="1" s="1"/>
  <c r="Q257" i="1"/>
  <c r="M19" i="1"/>
  <c r="P19" i="1" s="1"/>
  <c r="Q19" i="1"/>
  <c r="M93" i="1"/>
  <c r="P93" i="1" s="1"/>
  <c r="Q93" i="1"/>
  <c r="M125" i="1"/>
  <c r="P125" i="1" s="1"/>
  <c r="Q125" i="1"/>
  <c r="M168" i="1"/>
  <c r="P168" i="1" s="1"/>
  <c r="Q168" i="1"/>
  <c r="M197" i="1"/>
  <c r="P197" i="1" s="1"/>
  <c r="Q197" i="1"/>
  <c r="M220" i="1"/>
  <c r="P220" i="1" s="1"/>
  <c r="Q220" i="1"/>
  <c r="M267" i="1"/>
  <c r="P267" i="1" s="1"/>
  <c r="Q267" i="1"/>
  <c r="M326" i="1"/>
  <c r="P326" i="1" s="1"/>
  <c r="Q326" i="1"/>
  <c r="M432" i="1"/>
  <c r="P432" i="1" s="1"/>
  <c r="Q432" i="1"/>
  <c r="M37" i="1"/>
  <c r="P37" i="1" s="1"/>
  <c r="Q37" i="1"/>
  <c r="M59" i="1"/>
  <c r="P59" i="1" s="1"/>
  <c r="Q59" i="1"/>
  <c r="M182" i="1"/>
  <c r="P182" i="1" s="1"/>
  <c r="Q182" i="1"/>
  <c r="M196" i="1"/>
  <c r="P196" i="1" s="1"/>
  <c r="Q196" i="1"/>
  <c r="M238" i="1"/>
  <c r="P238" i="1" s="1"/>
  <c r="Q238" i="1"/>
  <c r="M255" i="1"/>
  <c r="P255" i="1" s="1"/>
  <c r="Q255" i="1"/>
  <c r="M266" i="1"/>
  <c r="P266" i="1" s="1"/>
  <c r="Q266" i="1"/>
  <c r="M301" i="1"/>
  <c r="P301" i="1" s="1"/>
  <c r="Q301" i="1"/>
  <c r="M314" i="1"/>
  <c r="P314" i="1" s="1"/>
  <c r="Q314" i="1"/>
  <c r="M325" i="1"/>
  <c r="P325" i="1" s="1"/>
  <c r="Q325" i="1"/>
  <c r="M346" i="1"/>
  <c r="P346" i="1" s="1"/>
  <c r="Q346" i="1"/>
  <c r="M352" i="1"/>
  <c r="P352" i="1" s="1"/>
  <c r="Q352" i="1"/>
  <c r="M391" i="1"/>
  <c r="P391" i="1" s="1"/>
  <c r="Q391" i="1"/>
  <c r="M438" i="1"/>
  <c r="P438" i="1" s="1"/>
  <c r="Q438" i="1"/>
  <c r="M467" i="1"/>
  <c r="P467" i="1" s="1"/>
  <c r="Q467" i="1"/>
  <c r="M501" i="1"/>
  <c r="P501" i="1" s="1"/>
  <c r="Q501" i="1"/>
  <c r="M512" i="1"/>
  <c r="P512" i="1" s="1"/>
  <c r="Q512" i="1"/>
  <c r="M519" i="1"/>
  <c r="P519" i="1" s="1"/>
  <c r="Q519" i="1"/>
  <c r="M542" i="1"/>
  <c r="P542" i="1" s="1"/>
  <c r="Q542" i="1"/>
  <c r="M530" i="1"/>
  <c r="P530" i="1" s="1"/>
  <c r="Q530" i="1"/>
  <c r="M571" i="1"/>
  <c r="P571" i="1" s="1"/>
  <c r="Q571" i="1"/>
  <c r="M11" i="1"/>
  <c r="P11" i="1" s="1"/>
  <c r="Q11" i="1"/>
  <c r="M101" i="1"/>
  <c r="P101" i="1" s="1"/>
  <c r="Q101" i="1"/>
  <c r="M231" i="1"/>
  <c r="P231" i="1" s="1"/>
  <c r="Q231" i="1"/>
  <c r="M356" i="1"/>
  <c r="P356" i="1" s="1"/>
  <c r="Q356" i="1"/>
  <c r="M2" i="1"/>
  <c r="P2" i="1" s="1"/>
  <c r="Q2" i="1"/>
  <c r="M9" i="1"/>
  <c r="P9" i="1" s="1"/>
  <c r="Q9" i="1"/>
  <c r="M126" i="1"/>
  <c r="P126" i="1" s="1"/>
  <c r="Q126" i="1"/>
  <c r="M327" i="1"/>
  <c r="P327" i="1" s="1"/>
  <c r="Q327" i="1"/>
  <c r="M38" i="1"/>
  <c r="P38" i="1" s="1"/>
  <c r="Q38" i="1"/>
  <c r="M62" i="1"/>
  <c r="P62" i="1" s="1"/>
  <c r="Q62" i="1"/>
  <c r="M209" i="1"/>
  <c r="P209" i="1" s="1"/>
  <c r="Q209" i="1"/>
  <c r="M228" i="1"/>
  <c r="P228" i="1" s="1"/>
  <c r="Q228" i="1"/>
  <c r="M295" i="1"/>
  <c r="P295" i="1" s="1"/>
  <c r="Q295" i="1"/>
  <c r="M502" i="1"/>
  <c r="P502" i="1" s="1"/>
  <c r="Q502" i="1"/>
  <c r="M5" i="1"/>
  <c r="P5" i="1" s="1"/>
  <c r="Q5" i="1"/>
  <c r="M22" i="1"/>
  <c r="P22" i="1" s="1"/>
  <c r="Q22" i="1"/>
  <c r="M65" i="1"/>
  <c r="P65" i="1" s="1"/>
  <c r="Q65" i="1"/>
  <c r="M99" i="1"/>
  <c r="P99" i="1" s="1"/>
  <c r="Q99" i="1"/>
  <c r="M124" i="1"/>
  <c r="P124" i="1" s="1"/>
  <c r="Q124" i="1"/>
  <c r="M146" i="1"/>
  <c r="P146" i="1" s="1"/>
  <c r="Q146" i="1"/>
  <c r="M208" i="1"/>
  <c r="P208" i="1" s="1"/>
  <c r="Q208" i="1"/>
  <c r="M219" i="1"/>
  <c r="P219" i="1" s="1"/>
  <c r="Q219" i="1"/>
  <c r="M8" i="1"/>
  <c r="P8" i="1" s="1"/>
  <c r="Q8" i="1"/>
  <c r="M31" i="1"/>
  <c r="P31" i="1" s="1"/>
  <c r="Q31" i="1"/>
  <c r="M36" i="1"/>
  <c r="P36" i="1" s="1"/>
  <c r="Q36" i="1"/>
  <c r="M68" i="1"/>
  <c r="P68" i="1" s="1"/>
  <c r="Q68" i="1"/>
  <c r="M108" i="1"/>
  <c r="P108" i="1" s="1"/>
  <c r="Q108" i="1"/>
  <c r="M64" i="1"/>
  <c r="P64" i="1" s="1"/>
  <c r="Q64" i="1"/>
  <c r="M123" i="1"/>
  <c r="P123" i="1" s="1"/>
  <c r="Q123" i="1"/>
  <c r="M149" i="1"/>
  <c r="P149" i="1" s="1"/>
  <c r="Q149" i="1"/>
  <c r="M190" i="1"/>
  <c r="P190" i="1" s="1"/>
  <c r="Q190" i="1"/>
  <c r="M207" i="1"/>
  <c r="P207" i="1" s="1"/>
  <c r="Q207" i="1"/>
  <c r="M195" i="1"/>
  <c r="P195" i="1" s="1"/>
  <c r="Q195" i="1"/>
  <c r="M218" i="1"/>
  <c r="P218" i="1" s="1"/>
  <c r="Q218" i="1"/>
  <c r="M241" i="1"/>
  <c r="P241" i="1" s="1"/>
  <c r="Q241" i="1"/>
  <c r="M254" i="1"/>
  <c r="P254" i="1" s="1"/>
  <c r="Q254" i="1"/>
  <c r="M265" i="1"/>
  <c r="P265" i="1" s="1"/>
  <c r="Q265" i="1"/>
  <c r="M312" i="1"/>
  <c r="P312" i="1" s="1"/>
  <c r="Q312" i="1"/>
  <c r="M336" i="1"/>
  <c r="P336" i="1" s="1"/>
  <c r="Q336" i="1"/>
  <c r="M324" i="1"/>
  <c r="P324" i="1" s="1"/>
  <c r="Q324" i="1"/>
  <c r="M345" i="1"/>
  <c r="P345" i="1" s="1"/>
  <c r="Q345" i="1"/>
  <c r="M351" i="1"/>
  <c r="P351" i="1" s="1"/>
  <c r="Q351" i="1"/>
  <c r="M406" i="1"/>
  <c r="P406" i="1" s="1"/>
  <c r="Q406" i="1"/>
  <c r="M445" i="1"/>
  <c r="P445" i="1" s="1"/>
  <c r="Q445" i="1"/>
  <c r="M466" i="1"/>
  <c r="P466" i="1" s="1"/>
  <c r="Q466" i="1"/>
  <c r="M500" i="1"/>
  <c r="P500" i="1" s="1"/>
  <c r="Q500" i="1"/>
  <c r="M515" i="1"/>
  <c r="P515" i="1" s="1"/>
  <c r="Q515" i="1"/>
  <c r="M518" i="1"/>
  <c r="P518" i="1" s="1"/>
  <c r="Q518" i="1"/>
  <c r="M541" i="1"/>
  <c r="P541" i="1" s="1"/>
  <c r="Q541" i="1"/>
  <c r="M553" i="1"/>
  <c r="P553" i="1" s="1"/>
  <c r="Q553" i="1"/>
  <c r="M570" i="1"/>
  <c r="P570" i="1" s="1"/>
  <c r="Q570" i="1"/>
  <c r="M270" i="1"/>
  <c r="P270" i="1" s="1"/>
  <c r="Q270" i="1"/>
  <c r="M10" i="1"/>
  <c r="P10" i="1" s="1"/>
  <c r="Q10" i="1"/>
  <c r="M194" i="1"/>
  <c r="P194" i="1" s="1"/>
  <c r="Q194" i="1"/>
  <c r="M311" i="1"/>
  <c r="P311" i="1" s="1"/>
  <c r="Q311" i="1"/>
  <c r="M344" i="1"/>
  <c r="P344" i="1" s="1"/>
  <c r="Q344" i="1"/>
  <c r="M419" i="1"/>
  <c r="P419" i="1" s="1"/>
  <c r="Q419" i="1"/>
  <c r="M444" i="1"/>
  <c r="P444" i="1" s="1"/>
  <c r="Q444" i="1"/>
  <c r="M465" i="1"/>
  <c r="P465" i="1" s="1"/>
  <c r="Q465" i="1"/>
  <c r="M499" i="1"/>
  <c r="P499" i="1" s="1"/>
  <c r="Q499" i="1"/>
  <c r="M529" i="1"/>
  <c r="P529" i="1" s="1"/>
  <c r="Q529" i="1"/>
  <c r="M517" i="1"/>
  <c r="P517" i="1" s="1"/>
  <c r="Q517" i="1"/>
  <c r="M540" i="1"/>
  <c r="P540" i="1" s="1"/>
  <c r="Q540" i="1"/>
  <c r="M554" i="1"/>
  <c r="P554" i="1" s="1"/>
  <c r="Q554" i="1"/>
  <c r="M580" i="1"/>
  <c r="P580" i="1" s="1"/>
  <c r="Q580" i="1"/>
  <c r="M116" i="1"/>
  <c r="P116" i="1" s="1"/>
  <c r="Q116" i="1"/>
  <c r="M431" i="1"/>
  <c r="P431" i="1" s="1"/>
  <c r="Q431" i="1"/>
  <c r="M114" i="1"/>
  <c r="P114" i="1" s="1"/>
  <c r="Q114" i="1"/>
  <c r="M303" i="1"/>
  <c r="P303" i="1" s="1"/>
  <c r="Q303" i="1"/>
  <c r="M67" i="1"/>
  <c r="P67" i="1" s="1"/>
  <c r="Q67" i="1"/>
  <c r="M264" i="1"/>
  <c r="P264" i="1" s="1"/>
  <c r="Q264" i="1"/>
  <c r="M29" i="1"/>
  <c r="P29" i="1" s="1"/>
  <c r="Q29" i="1"/>
  <c r="M66" i="1"/>
  <c r="P66" i="1" s="1"/>
  <c r="Q66" i="1"/>
  <c r="M106" i="1"/>
  <c r="P106" i="1" s="1"/>
  <c r="Q106" i="1"/>
  <c r="M133" i="1"/>
  <c r="P133" i="1" s="1"/>
  <c r="Q133" i="1"/>
  <c r="M121" i="1"/>
  <c r="P121" i="1" s="1"/>
  <c r="Q121" i="1"/>
  <c r="M147" i="1"/>
  <c r="P147" i="1" s="1"/>
  <c r="Q147" i="1"/>
  <c r="M188" i="1"/>
  <c r="P188" i="1" s="1"/>
  <c r="Q188" i="1"/>
  <c r="M205" i="1"/>
  <c r="P205" i="1" s="1"/>
  <c r="Q205" i="1"/>
  <c r="M214" i="1"/>
  <c r="P214" i="1" s="1"/>
  <c r="Q214" i="1"/>
  <c r="M236" i="1"/>
  <c r="P236" i="1" s="1"/>
  <c r="Q236" i="1"/>
  <c r="M239" i="1"/>
  <c r="P239" i="1" s="1"/>
  <c r="Q239" i="1"/>
  <c r="M252" i="1"/>
  <c r="P252" i="1" s="1"/>
  <c r="Q252" i="1"/>
  <c r="M263" i="1"/>
  <c r="P263" i="1" s="1"/>
  <c r="Q263" i="1"/>
  <c r="M310" i="1"/>
  <c r="P310" i="1" s="1"/>
  <c r="Q310" i="1"/>
  <c r="M334" i="1"/>
  <c r="P334" i="1" s="1"/>
  <c r="Q334" i="1"/>
  <c r="M322" i="1"/>
  <c r="P322" i="1" s="1"/>
  <c r="Q322" i="1"/>
  <c r="M343" i="1"/>
  <c r="P343" i="1" s="1"/>
  <c r="Q343" i="1"/>
  <c r="M362" i="1"/>
  <c r="P362" i="1" s="1"/>
  <c r="Q362" i="1"/>
  <c r="M424" i="1"/>
  <c r="P424" i="1" s="1"/>
  <c r="Q424" i="1"/>
  <c r="M443" i="1"/>
  <c r="P443" i="1" s="1"/>
  <c r="Q443" i="1"/>
  <c r="M464" i="1"/>
  <c r="P464" i="1" s="1"/>
  <c r="Q464" i="1"/>
  <c r="M498" i="1"/>
  <c r="P498" i="1" s="1"/>
  <c r="Q498" i="1"/>
  <c r="M528" i="1"/>
  <c r="P528" i="1" s="1"/>
  <c r="Q528" i="1"/>
  <c r="M516" i="1"/>
  <c r="P516" i="1" s="1"/>
  <c r="Q516" i="1"/>
  <c r="M539" i="1"/>
  <c r="P539" i="1" s="1"/>
  <c r="Q539" i="1"/>
  <c r="M556" i="1"/>
  <c r="P556" i="1" s="1"/>
  <c r="Q556" i="1"/>
  <c r="M582" i="1"/>
  <c r="P582" i="1" s="1"/>
  <c r="Q582" i="1"/>
  <c r="M128" i="1"/>
  <c r="P128" i="1" s="1"/>
  <c r="Q128" i="1"/>
  <c r="M329" i="1"/>
  <c r="P329" i="1" s="1"/>
  <c r="Q329" i="1"/>
  <c r="M229" i="1"/>
  <c r="P229" i="1" s="1"/>
  <c r="Q229" i="1"/>
  <c r="M17" i="1"/>
  <c r="P17" i="1" s="1"/>
  <c r="Q17" i="1"/>
  <c r="M189" i="1"/>
  <c r="P189" i="1" s="1"/>
  <c r="Q189" i="1"/>
  <c r="M335" i="1"/>
  <c r="P335" i="1" s="1"/>
  <c r="Q335" i="1"/>
  <c r="M105" i="1"/>
  <c r="P105" i="1" s="1"/>
  <c r="Q105" i="1"/>
  <c r="M152" i="1"/>
  <c r="P152" i="1" s="1"/>
  <c r="Q152" i="1"/>
  <c r="M204" i="1"/>
  <c r="P204" i="1" s="1"/>
  <c r="Q204" i="1"/>
  <c r="M215" i="1"/>
  <c r="P215" i="1" s="1"/>
  <c r="Q215" i="1"/>
  <c r="M235" i="1"/>
  <c r="P235" i="1" s="1"/>
  <c r="Q235" i="1"/>
  <c r="M244" i="1"/>
  <c r="P244" i="1" s="1"/>
  <c r="Q244" i="1"/>
  <c r="M251" i="1"/>
  <c r="P251" i="1" s="1"/>
  <c r="Q251" i="1"/>
  <c r="M262" i="1"/>
  <c r="P262" i="1" s="1"/>
  <c r="Q262" i="1"/>
  <c r="M309" i="1"/>
  <c r="P309" i="1" s="1"/>
  <c r="Q309" i="1"/>
  <c r="M333" i="1"/>
  <c r="P333" i="1" s="1"/>
  <c r="Q333" i="1"/>
  <c r="M321" i="1"/>
  <c r="P321" i="1" s="1"/>
  <c r="Q321" i="1"/>
  <c r="M342" i="1"/>
  <c r="P342" i="1" s="1"/>
  <c r="Q342" i="1"/>
  <c r="M365" i="1"/>
  <c r="P365" i="1" s="1"/>
  <c r="Q365" i="1"/>
  <c r="M423" i="1"/>
  <c r="P423" i="1" s="1"/>
  <c r="Q423" i="1"/>
  <c r="M442" i="1"/>
  <c r="P442" i="1" s="1"/>
  <c r="Q442" i="1"/>
  <c r="M463" i="1"/>
  <c r="P463" i="1" s="1"/>
  <c r="Q463" i="1"/>
  <c r="M497" i="1"/>
  <c r="P497" i="1" s="1"/>
  <c r="Q497" i="1"/>
  <c r="M527" i="1"/>
  <c r="P527" i="1" s="1"/>
  <c r="Q527" i="1"/>
  <c r="M550" i="1"/>
  <c r="P550" i="1" s="1"/>
  <c r="Q550" i="1"/>
  <c r="M538" i="1"/>
  <c r="P538" i="1" s="1"/>
  <c r="Q538" i="1"/>
  <c r="M561" i="1"/>
  <c r="P561" i="1" s="1"/>
  <c r="Q561" i="1"/>
  <c r="M581" i="1"/>
  <c r="P581" i="1" s="1"/>
  <c r="Q581" i="1"/>
  <c r="M45" i="1"/>
  <c r="P45" i="1" s="1"/>
  <c r="Q45" i="1"/>
  <c r="M317" i="1"/>
  <c r="P317" i="1" s="1"/>
  <c r="Q317" i="1"/>
  <c r="M43" i="1"/>
  <c r="P43" i="1" s="1"/>
  <c r="Q43" i="1"/>
  <c r="M198" i="1"/>
  <c r="P198" i="1" s="1"/>
  <c r="Q198" i="1"/>
  <c r="M113" i="1"/>
  <c r="P113" i="1" s="1"/>
  <c r="Q113" i="1"/>
  <c r="M350" i="1"/>
  <c r="P350" i="1" s="1"/>
  <c r="Q350" i="1"/>
  <c r="M15" i="1"/>
  <c r="P15" i="1" s="1"/>
  <c r="Q15" i="1"/>
  <c r="M131" i="1"/>
  <c r="P131" i="1" s="1"/>
  <c r="Q131" i="1"/>
  <c r="M245" i="1"/>
  <c r="P245" i="1" s="1"/>
  <c r="Q245" i="1"/>
  <c r="M332" i="1"/>
  <c r="P332" i="1" s="1"/>
  <c r="Q332" i="1"/>
  <c r="M341" i="1"/>
  <c r="P341" i="1" s="1"/>
  <c r="Q341" i="1"/>
  <c r="M364" i="1"/>
  <c r="P364" i="1" s="1"/>
  <c r="Q364" i="1"/>
  <c r="M441" i="1"/>
  <c r="P441" i="1" s="1"/>
  <c r="Q441" i="1"/>
  <c r="M474" i="1"/>
  <c r="P474" i="1" s="1"/>
  <c r="Q474" i="1"/>
  <c r="M496" i="1"/>
  <c r="P496" i="1" s="1"/>
  <c r="Q496" i="1"/>
  <c r="M526" i="1"/>
  <c r="P526" i="1" s="1"/>
  <c r="Q526" i="1"/>
  <c r="M549" i="1"/>
  <c r="P549" i="1" s="1"/>
  <c r="Q549" i="1"/>
  <c r="M537" i="1"/>
  <c r="P537" i="1" s="1"/>
  <c r="Q537" i="1"/>
  <c r="M565" i="1"/>
  <c r="P565" i="1" s="1"/>
  <c r="Q565" i="1"/>
  <c r="M586" i="1"/>
  <c r="P586" i="1" s="1"/>
  <c r="Q586" i="1"/>
  <c r="M200" i="1"/>
  <c r="P200" i="1" s="1"/>
  <c r="Q200" i="1"/>
  <c r="M523" i="1"/>
  <c r="P523" i="1" s="1"/>
  <c r="Q523" i="1"/>
  <c r="M4" i="1"/>
  <c r="P4" i="1" s="1"/>
  <c r="Q4" i="1"/>
  <c r="M63" i="1"/>
  <c r="P63" i="1" s="1"/>
  <c r="Q63" i="1"/>
  <c r="M292" i="1"/>
  <c r="P292" i="1" s="1"/>
  <c r="Q292" i="1"/>
  <c r="M6" i="1"/>
  <c r="P6" i="1" s="1"/>
  <c r="Q6" i="1"/>
  <c r="M51" i="1"/>
  <c r="P51" i="1" s="1"/>
  <c r="Q51" i="1"/>
  <c r="M30" i="1"/>
  <c r="P30" i="1" s="1"/>
  <c r="Q30" i="1"/>
  <c r="M35" i="1"/>
  <c r="P35" i="1" s="1"/>
  <c r="Q35" i="1"/>
  <c r="M107" i="1"/>
  <c r="P107" i="1" s="1"/>
  <c r="Q107" i="1"/>
  <c r="M122" i="1"/>
  <c r="P122" i="1" s="1"/>
  <c r="Q122" i="1"/>
  <c r="M148" i="1"/>
  <c r="P148" i="1" s="1"/>
  <c r="Q148" i="1"/>
  <c r="M206" i="1"/>
  <c r="P206" i="1" s="1"/>
  <c r="Q206" i="1"/>
  <c r="M227" i="1"/>
  <c r="P227" i="1" s="1"/>
  <c r="Q227" i="1"/>
  <c r="M240" i="1"/>
  <c r="P240" i="1" s="1"/>
  <c r="Q240" i="1"/>
  <c r="M253" i="1"/>
  <c r="P253" i="1" s="1"/>
  <c r="Q253" i="1"/>
  <c r="M323" i="1"/>
  <c r="P323" i="1" s="1"/>
  <c r="Q323" i="1"/>
  <c r="M16" i="1"/>
  <c r="P16" i="1" s="1"/>
  <c r="Q16" i="1"/>
  <c r="M34" i="1"/>
  <c r="P34" i="1" s="1"/>
  <c r="Q34" i="1"/>
  <c r="M28" i="1"/>
  <c r="P28" i="1" s="1"/>
  <c r="Q28" i="1"/>
  <c r="M40" i="1"/>
  <c r="P40" i="1" s="1"/>
  <c r="Q40" i="1"/>
  <c r="M71" i="1"/>
  <c r="P71" i="1" s="1"/>
  <c r="Q71" i="1"/>
  <c r="M132" i="1"/>
  <c r="P132" i="1" s="1"/>
  <c r="Q132" i="1"/>
  <c r="M120" i="1"/>
  <c r="P120" i="1" s="1"/>
  <c r="Q120" i="1"/>
  <c r="M187" i="1"/>
  <c r="P187" i="1" s="1"/>
  <c r="Q187" i="1"/>
  <c r="M14" i="1"/>
  <c r="P14" i="1" s="1"/>
  <c r="Q14" i="1"/>
  <c r="M27" i="1"/>
  <c r="P27" i="1" s="1"/>
  <c r="Q27" i="1"/>
  <c r="M42" i="1"/>
  <c r="P42" i="1" s="1"/>
  <c r="Q42" i="1"/>
  <c r="M72" i="1"/>
  <c r="P72" i="1" s="1"/>
  <c r="Q72" i="1"/>
  <c r="M104" i="1"/>
  <c r="P104" i="1" s="1"/>
  <c r="Q104" i="1"/>
  <c r="M119" i="1"/>
  <c r="P119" i="1" s="1"/>
  <c r="Q119" i="1"/>
  <c r="M153" i="1"/>
  <c r="P153" i="1" s="1"/>
  <c r="Q153" i="1"/>
  <c r="M186" i="1"/>
  <c r="P186" i="1" s="1"/>
  <c r="Q186" i="1"/>
  <c r="M203" i="1"/>
  <c r="P203" i="1" s="1"/>
  <c r="Q203" i="1"/>
  <c r="M217" i="1"/>
  <c r="P217" i="1" s="1"/>
  <c r="Q217" i="1"/>
  <c r="M234" i="1"/>
  <c r="P234" i="1" s="1"/>
  <c r="Q234" i="1"/>
  <c r="M273" i="1"/>
  <c r="P273" i="1" s="1"/>
  <c r="Q273" i="1"/>
  <c r="M261" i="1"/>
  <c r="P261" i="1" s="1"/>
  <c r="Q261" i="1"/>
  <c r="M308" i="1"/>
  <c r="P308" i="1" s="1"/>
  <c r="Q308" i="1"/>
  <c r="M320" i="1"/>
  <c r="P320" i="1" s="1"/>
  <c r="Q320" i="1"/>
  <c r="M422" i="1"/>
  <c r="P422" i="1" s="1"/>
  <c r="Q422" i="1"/>
  <c r="M13" i="1"/>
  <c r="P13" i="1" s="1"/>
  <c r="Q13" i="1"/>
  <c r="M26" i="1"/>
  <c r="P26" i="1" s="1"/>
  <c r="Q26" i="1"/>
  <c r="M47" i="1"/>
  <c r="P47" i="1" s="1"/>
  <c r="Q47" i="1"/>
  <c r="M92" i="1"/>
  <c r="P92" i="1" s="1"/>
  <c r="Q92" i="1"/>
  <c r="M103" i="1"/>
  <c r="P103" i="1" s="1"/>
  <c r="Q103" i="1"/>
  <c r="M130" i="1"/>
  <c r="P130" i="1" s="1"/>
  <c r="Q130" i="1"/>
  <c r="M118" i="1"/>
  <c r="P118" i="1" s="1"/>
  <c r="Q118" i="1"/>
  <c r="M156" i="1"/>
  <c r="P156" i="1" s="1"/>
  <c r="Q156" i="1"/>
  <c r="M185" i="1"/>
  <c r="P185" i="1" s="1"/>
  <c r="Q185" i="1"/>
  <c r="M202" i="1"/>
  <c r="P202" i="1" s="1"/>
  <c r="Q202" i="1"/>
  <c r="M225" i="1"/>
  <c r="P225" i="1" s="1"/>
  <c r="Q225" i="1"/>
  <c r="M233" i="1"/>
  <c r="P233" i="1" s="1"/>
  <c r="Q233" i="1"/>
  <c r="M250" i="1"/>
  <c r="P250" i="1" s="1"/>
  <c r="Q250" i="1"/>
  <c r="M272" i="1"/>
  <c r="P272" i="1" s="1"/>
  <c r="Q272" i="1"/>
  <c r="M276" i="1"/>
  <c r="P276" i="1" s="1"/>
  <c r="Q276" i="1"/>
  <c r="M307" i="1"/>
  <c r="P307" i="1" s="1"/>
  <c r="Q307" i="1"/>
  <c r="M331" i="1"/>
  <c r="P331" i="1" s="1"/>
  <c r="Q331" i="1"/>
  <c r="M319" i="1"/>
  <c r="P319" i="1" s="1"/>
  <c r="Q319" i="1"/>
  <c r="M349" i="1"/>
  <c r="P349" i="1" s="1"/>
  <c r="Q349" i="1"/>
  <c r="M363" i="1"/>
  <c r="P363" i="1" s="1"/>
  <c r="Q363" i="1"/>
  <c r="M421" i="1"/>
  <c r="P421" i="1" s="1"/>
  <c r="Q421" i="1"/>
  <c r="M440" i="1"/>
  <c r="P440" i="1" s="1"/>
  <c r="Q440" i="1"/>
  <c r="M486" i="1"/>
  <c r="P486" i="1" s="1"/>
  <c r="Q486" i="1"/>
  <c r="M495" i="1"/>
  <c r="P495" i="1" s="1"/>
  <c r="Q495" i="1"/>
  <c r="M525" i="1"/>
  <c r="P525" i="1" s="1"/>
  <c r="Q525" i="1"/>
  <c r="M548" i="1"/>
  <c r="P548" i="1" s="1"/>
  <c r="Q548" i="1"/>
  <c r="M536" i="1"/>
  <c r="P536" i="1" s="1"/>
  <c r="Q536" i="1"/>
  <c r="M564" i="1"/>
  <c r="P564" i="1" s="1"/>
  <c r="Q564" i="1"/>
  <c r="M594" i="1"/>
  <c r="P594" i="1" s="1"/>
  <c r="Q594" i="1"/>
</calcChain>
</file>

<file path=xl/sharedStrings.xml><?xml version="1.0" encoding="utf-8"?>
<sst xmlns="http://schemas.openxmlformats.org/spreadsheetml/2006/main" count="11104" uniqueCount="1689">
  <si>
    <t>Product Code</t>
  </si>
  <si>
    <t>Description</t>
  </si>
  <si>
    <t>New List Price 2026</t>
  </si>
  <si>
    <t>UoM</t>
  </si>
  <si>
    <t>CorporateCategoryDescription</t>
  </si>
  <si>
    <t>CorporateLine</t>
  </si>
  <si>
    <t>CorporateLineDescription</t>
  </si>
  <si>
    <t>CorporateProductGroupDescription</t>
  </si>
  <si>
    <t>SalesUnit</t>
  </si>
  <si>
    <t>Status</t>
  </si>
  <si>
    <t>WYK-NOZZLE0637</t>
  </si>
  <si>
    <t>1 litre plastic nozzle 1pc</t>
  </si>
  <si>
    <t/>
  </si>
  <si>
    <t>pc</t>
  </si>
  <si>
    <t>CONSTRUCTION PRODUCTS</t>
  </si>
  <si>
    <t>C05</t>
  </si>
  <si>
    <t>MASONRY STRUCTURES PRODUCTS</t>
  </si>
  <si>
    <t>CHEMICAL BARRIER INJECTION</t>
  </si>
  <si>
    <t>Active</t>
  </si>
  <si>
    <t>WYK-NONRETBRASS</t>
  </si>
  <si>
    <t>1/4" swing check non return valve (brass) 1pc</t>
  </si>
  <si>
    <t>WYK-DB10X160</t>
  </si>
  <si>
    <t>10 x 160 sds+ drill bits 1pc</t>
  </si>
  <si>
    <t>OTHER</t>
  </si>
  <si>
    <t>I06</t>
  </si>
  <si>
    <t>VARIOUS MATERIALS</t>
  </si>
  <si>
    <t>WYK-DB11X160</t>
  </si>
  <si>
    <t>11 x 160 sds+ drill bits 1pc</t>
  </si>
  <si>
    <t>WYK-DB11X310</t>
  </si>
  <si>
    <t>11 x 310 sds+ drill bits 1pc</t>
  </si>
  <si>
    <t>WYK-COB110-250</t>
  </si>
  <si>
    <t>110mm cob plugs bag 250pc</t>
  </si>
  <si>
    <t>Bag</t>
  </si>
  <si>
    <t>C03</t>
  </si>
  <si>
    <t>WATERPROOFING</t>
  </si>
  <si>
    <t>CAVITY DRAIN SYSTEMS</t>
  </si>
  <si>
    <t>WYK-DB12X160</t>
  </si>
  <si>
    <t>12 x 160 sds+ drill bits 1pc</t>
  </si>
  <si>
    <t>WYK-DB12X250</t>
  </si>
  <si>
    <t>12 x 250 sds+ drill bits 1pc</t>
  </si>
  <si>
    <t>WYK-DB12X300</t>
  </si>
  <si>
    <t>12 x 300 sds+ drill bits 1pc</t>
  </si>
  <si>
    <t>WYK-CDT-12-DRIVER</t>
  </si>
  <si>
    <t>12mm drive pin setting tool 1pc (box of 1000)</t>
  </si>
  <si>
    <t>C14</t>
  </si>
  <si>
    <t>STRENGTHENING</t>
  </si>
  <si>
    <t>HELYCAL STEEL WALL TIE AND RESTRAINTS</t>
  </si>
  <si>
    <t>WYK-IP12MMGREY</t>
  </si>
  <si>
    <t>12mm injection plug-grey bag 100 pc (box of 1000)</t>
  </si>
  <si>
    <t>I08</t>
  </si>
  <si>
    <t>TECHNICAL ITEMS AND EQUIPMENTS</t>
  </si>
  <si>
    <t>INIJECTION TOOLS</t>
  </si>
  <si>
    <t>WYK-IP12MMRUSTIC</t>
  </si>
  <si>
    <t>12mm injection plug-rustic (brick red) bag 100pc (box of 10)</t>
  </si>
  <si>
    <t>WYK-IP12MMSTONE</t>
  </si>
  <si>
    <t>12mm injection plug-stone bag 100 pc (box of 1000)</t>
  </si>
  <si>
    <t>WYK-CDT-12-610</t>
  </si>
  <si>
    <t>12mm x 610mm helical drive pins bag 10pc (box of 1000)</t>
  </si>
  <si>
    <t>WYK-CDT-12-760</t>
  </si>
  <si>
    <t>12mm x 760mm helical drive pins bag 10pc (box of 1000)</t>
  </si>
  <si>
    <t>WYK-CDT-12-910</t>
  </si>
  <si>
    <t>12mm x 910mm helical drive pins bag 10pc (box of 1000)</t>
  </si>
  <si>
    <t>WYK-COB130-250</t>
  </si>
  <si>
    <t>130mm cob plug bag 250pc</t>
  </si>
  <si>
    <t>WYK-DB14X450</t>
  </si>
  <si>
    <t>14 x 450 sds+ drill bits 1pc</t>
  </si>
  <si>
    <t>WYK-COB150-250</t>
  </si>
  <si>
    <t>150mm cob plug bag 250pc</t>
  </si>
  <si>
    <t>WYK-COB180-250</t>
  </si>
  <si>
    <t>180mm cob plugs bag 250pc</t>
  </si>
  <si>
    <t>WYK-ULTRASLAPP</t>
  </si>
  <si>
    <t>3.5ltr applicator 1pc</t>
  </si>
  <si>
    <t>WYK-ULTRAGUN</t>
  </si>
  <si>
    <t>400cc ultracure crt gun 1pc</t>
  </si>
  <si>
    <t>WYK-REDSLEEVING</t>
  </si>
  <si>
    <t>4mm red sleeving 1pc</t>
  </si>
  <si>
    <t>ELECTRO OSMOTIC DAMPROOFING</t>
  </si>
  <si>
    <t>WYK-DB6X360</t>
  </si>
  <si>
    <t>6 x 360 sds+ drill bits 1pc</t>
  </si>
  <si>
    <t>WYK-DB6X450</t>
  </si>
  <si>
    <t>6 x 450 sds+ drill bits 1pc</t>
  </si>
  <si>
    <t>WYK-THBM6X1000F</t>
  </si>
  <si>
    <t>6mmx1000mm heliforce crack stitching bar 1pc</t>
  </si>
  <si>
    <t>WYK-THBM6X2000F</t>
  </si>
  <si>
    <t>6mmx2000mm heliforce crack stitching bar 1pc</t>
  </si>
  <si>
    <t>WYK-THBM6X7000F</t>
  </si>
  <si>
    <t>6mmx7000mm heliforce crack stitching bar 1pc(multipack of 5)</t>
  </si>
  <si>
    <t>multipack</t>
  </si>
  <si>
    <t>WYK-DB7X160</t>
  </si>
  <si>
    <t>7 x 160 sds+ drill bits 1pc</t>
  </si>
  <si>
    <t>WYK-DB7X510</t>
  </si>
  <si>
    <t>7 x 510 sds+ drill bits 1pc</t>
  </si>
  <si>
    <t>WYK-COB70-250</t>
  </si>
  <si>
    <t>70mm cob plugs bag 250pc</t>
  </si>
  <si>
    <t>WYK-DB7X310</t>
  </si>
  <si>
    <t>7mm x 310mm sds+ drill bit 1pc</t>
  </si>
  <si>
    <t>WYK-THBM7X1200F</t>
  </si>
  <si>
    <t>7mmx1200mm heliforce crack stitching bar 1pc</t>
  </si>
  <si>
    <t>WYK-THBM7X1500F</t>
  </si>
  <si>
    <t>7mmx1500mm heliforce crack stitching bar 1pc</t>
  </si>
  <si>
    <t>WYK-DB8X160</t>
  </si>
  <si>
    <t>8 x 160 sds+ drill bits pc 1pc</t>
  </si>
  <si>
    <t>WYK-THBM8X1000F</t>
  </si>
  <si>
    <t>8mmx1000mm heliforce hd crack stitching bar 1pc</t>
  </si>
  <si>
    <t>WYK-THBM8X7000F</t>
  </si>
  <si>
    <t>8mmx7000mm heliforce hd crack stitching bar 1pc(multip.of 5)</t>
  </si>
  <si>
    <t>WYK-COB90-250</t>
  </si>
  <si>
    <t>90mm cob plugs bag 250pc</t>
  </si>
  <si>
    <t>WYK-TH9HPTA</t>
  </si>
  <si>
    <t>9mm helical pull test adaptor 1pc</t>
  </si>
  <si>
    <t>Additix P bucket 0.9kg (box of 6)</t>
  </si>
  <si>
    <t>bucket</t>
  </si>
  <si>
    <t>PURTOP EASY</t>
  </si>
  <si>
    <t>WYK-ALERTMAXX2G</t>
  </si>
  <si>
    <t>Alertmaxx 2 - ec ground water wifi high level alarm 1pc</t>
  </si>
  <si>
    <t>CAVITY DRAIN PUMPS</t>
  </si>
  <si>
    <t>WYK-ALLDAMPRENDER5</t>
  </si>
  <si>
    <t>All damp render additive jerrycan 5lt (box of 4)</t>
  </si>
  <si>
    <t>Jerrycan</t>
  </si>
  <si>
    <t>C08</t>
  </si>
  <si>
    <t>ADMIXTURES FOR MORTARS</t>
  </si>
  <si>
    <t>WATERPROOFING ADMIXTURES</t>
  </si>
  <si>
    <t>WYK-ALLDAMP1LTR</t>
  </si>
  <si>
    <t>Alldamp dpc cream (allerton) crt 1lt (box of 8)</t>
  </si>
  <si>
    <t>crt</t>
  </si>
  <si>
    <t>WYK-ALLDAMPBSEAL100</t>
  </si>
  <si>
    <t>Allerton damp brick plug with seal bag 100 pc</t>
  </si>
  <si>
    <t>WYK-ALLDAMPPLSEAL100</t>
  </si>
  <si>
    <t>Allerton damp plaster plug with seal bag 100 pc</t>
  </si>
  <si>
    <t>WYK-ANTILIME2</t>
  </si>
  <si>
    <t>Anti-Lime Sealer Concentrate jerrycan 2lt (box of 6)</t>
  </si>
  <si>
    <t>C06</t>
  </si>
  <si>
    <t>PROTECTIVE AND DECORATING COATINGS</t>
  </si>
  <si>
    <t>WATER REPELLENTS</t>
  </si>
  <si>
    <t>Aquaflex S 1K bucket 15kg</t>
  </si>
  <si>
    <t>ROOFING SPUR COATINGS</t>
  </si>
  <si>
    <t>Aquaflex S 1K bucket 5kg</t>
  </si>
  <si>
    <t>WYK-2247</t>
  </si>
  <si>
    <t>Aquapump xl (ea31) auto 1pc</t>
  </si>
  <si>
    <t>POA</t>
  </si>
  <si>
    <t>WYK-2250</t>
  </si>
  <si>
    <t>Aquapump xl dual (ea31) auto single outlet 1pc</t>
  </si>
  <si>
    <t>WYK-AQUASAFE</t>
  </si>
  <si>
    <t>Aquasafe alarm 1pc</t>
  </si>
  <si>
    <t>WYK-AQUASAFEFOUL</t>
  </si>
  <si>
    <t>Aquasafe alarm for foul sumps/pumps 1pc</t>
  </si>
  <si>
    <t>WYK-POWERFLO</t>
  </si>
  <si>
    <t>Battery back up system 1pc</t>
  </si>
  <si>
    <t>WYK-SUMPBATPK1</t>
  </si>
  <si>
    <t>Battery backup pipework kit single (kit d) 1pc</t>
  </si>
  <si>
    <t>WYK-SUMPBATPK2</t>
  </si>
  <si>
    <t>Battery backup pipework kit twin (kit e) 1pc</t>
  </si>
  <si>
    <t>WYK-SUMPBATPK3</t>
  </si>
  <si>
    <t>Battery backup pipework kit twin + twin (kit f) 1pc</t>
  </si>
  <si>
    <t>Bento Granules LM bag 25kg</t>
  </si>
  <si>
    <t>BENTONITIC</t>
  </si>
  <si>
    <t>WYK-TTBETO25LTR</t>
  </si>
  <si>
    <t>Betocrete cl210 jerrycan 25lt</t>
  </si>
  <si>
    <t>ADMIXTURES FOR CONCRETE</t>
  </si>
  <si>
    <t>D07</t>
  </si>
  <si>
    <t>OTHER ADMIXTURES FOR CONCRETE</t>
  </si>
  <si>
    <t>WATERPROOFING AGENTS</t>
  </si>
  <si>
    <t>WYK-SUMPBLACKLID</t>
  </si>
  <si>
    <t>Black lid with seal kit for the black sump 1pc</t>
  </si>
  <si>
    <t>WYK-SUMPBLACK</t>
  </si>
  <si>
    <t>Black sump chamber 1pc</t>
  </si>
  <si>
    <t>WYK-CONDRYBLANK380CC</t>
  </si>
  <si>
    <t>Blank damp proof crt 380ml (box of 10)</t>
  </si>
  <si>
    <t>WYK-TWBBRUSH</t>
  </si>
  <si>
    <t>Block brush 1pc</t>
  </si>
  <si>
    <t>WYK-BPITTADMIX4.1</t>
  </si>
  <si>
    <t>Bpi ttadmix bag 4.1kg (bucket of 6)</t>
  </si>
  <si>
    <t>WYK-CDT-12-1220</t>
  </si>
  <si>
    <t>Cd tie 12mm x 1220mm bag 10pc (box of 1000)</t>
  </si>
  <si>
    <t>WYK-CDT-DRIVER</t>
  </si>
  <si>
    <t>Cd tie driving adaptor 1pc (box of 1000)</t>
  </si>
  <si>
    <t>WYK-CDT-450-50</t>
  </si>
  <si>
    <t>Cd ties 9mm x 450mm bag 50pc (box of 1000)</t>
  </si>
  <si>
    <t>WYK-CEM805ACT</t>
  </si>
  <si>
    <t>Cem 805 active swellable mastic crt 310ml</t>
  </si>
  <si>
    <t>HYDRO-SWELLING JOINTS</t>
  </si>
  <si>
    <t>WYK-CMBRICKPLUG100</t>
  </si>
  <si>
    <t>CM brick plug 100 (60mm no seals) (black) bag 1kg</t>
  </si>
  <si>
    <t>WYK-CMBRICKSEAL100</t>
  </si>
  <si>
    <t>CM brick plug with seal 100 (60mm) (black) bag 0.7kg</t>
  </si>
  <si>
    <t>WYK-CMPLASTERPLUG100</t>
  </si>
  <si>
    <t>CM plaster plug 100 (60mm no seals) bag 0.8kg</t>
  </si>
  <si>
    <t>WYK-CMPLASTERSEAL100</t>
  </si>
  <si>
    <t>CM plaster plug with seal 100 (60mm) bag 0.8kg</t>
  </si>
  <si>
    <t>WYK-CM202X10</t>
  </si>
  <si>
    <t>CM20 Cavity Drain Membrane Black 2mx10m roll 20sm</t>
  </si>
  <si>
    <t>Roll</t>
  </si>
  <si>
    <t>WYK-CM202X20</t>
  </si>
  <si>
    <t>CM20 Cavity Drain Membrane Black 2mx20m roll 40sm</t>
  </si>
  <si>
    <t>WYK-CM202X20YELL</t>
  </si>
  <si>
    <t>CM20 Cavity Drain Membrane Yellow 2mx20m roll 40sm</t>
  </si>
  <si>
    <t>WYK-CM20GEOTEXT2X10</t>
  </si>
  <si>
    <t>CM20 Geotextile Membrane roll 20sm</t>
  </si>
  <si>
    <t>PROTECTION &amp; DRAIN SYSTEM</t>
  </si>
  <si>
    <t>WYK-CM32X20C</t>
  </si>
  <si>
    <t>CM3 Cavity Drain Membrane Clear 2x20mt roll 40sm</t>
  </si>
  <si>
    <t>WYK-CM3MESH1.2X10</t>
  </si>
  <si>
    <t>CM3 Cavity Drain Mesh Membrane 1.2mx10m roll 12sm</t>
  </si>
  <si>
    <t>WYK-CM3MESH1.2X20</t>
  </si>
  <si>
    <t>CM3 Cavity Drain Mesh Membrane 1.2mx20m roll 24sm</t>
  </si>
  <si>
    <t>WYK-CM3MESH1X10</t>
  </si>
  <si>
    <t>CM3 Cavity Drain Mesh Membrane 1mx10m roll 10sm</t>
  </si>
  <si>
    <t>WYK-CM3MESH1X20</t>
  </si>
  <si>
    <t>CM3 Cavity Drain Mesh Membrane 1mx20m roll 20sm</t>
  </si>
  <si>
    <t>WYK-CM3MESH2X20</t>
  </si>
  <si>
    <t>CM3 Cavity Drain Mesh Membrane 2mx20m roll 40sm</t>
  </si>
  <si>
    <t>WYK-CM8MESH1X20</t>
  </si>
  <si>
    <t>CM8  Cavity Drain Mesh Membrane 1mx20m roll 20sm</t>
  </si>
  <si>
    <t>WYK-CM8MESH2X10</t>
  </si>
  <si>
    <t>CM8  Cavity Drain Mesh Membrane 2mx10m roll 20sm</t>
  </si>
  <si>
    <t>WYK-CM8MESH2X20</t>
  </si>
  <si>
    <t>CM8  Cavity Drain Mesh Membrane 2mx20m roll 40sm</t>
  </si>
  <si>
    <t>WYK-CM82.4X20</t>
  </si>
  <si>
    <t>CM8 Cavity Drain Membrane 2.4mx20m roll 48sm</t>
  </si>
  <si>
    <t>WYK-CM82X20</t>
  </si>
  <si>
    <t>CM8 Cavity Drain Membrane 2mx20m roll 40sm</t>
  </si>
  <si>
    <t>WYK-CM8GEOTEXT2X20</t>
  </si>
  <si>
    <t>CM8 Geotextile Membrane 2mx20m roll 40sm</t>
  </si>
  <si>
    <t>WYK-CM8HD2.4X20</t>
  </si>
  <si>
    <t>CM8 Heavy Duty Cavity Drain Membrane 2.4mx20m roll 48sm</t>
  </si>
  <si>
    <t>WYK-CM8HD2X20</t>
  </si>
  <si>
    <t>CM8 Heavy Duty Cavity Drain Membrane 2mx20m roll 40sm</t>
  </si>
  <si>
    <t>WYK-CONDSTRIP250</t>
  </si>
  <si>
    <t>Condensation strip 250mm x 20m roll 20mt</t>
  </si>
  <si>
    <t>WYK-VENTCORE</t>
  </si>
  <si>
    <t>Core home dry vent 1pc</t>
  </si>
  <si>
    <t>BASIN AIR VENTILATION SYSTEMS</t>
  </si>
  <si>
    <t>WYK-THCS/GK</t>
  </si>
  <si>
    <t>Crack stitch gun 1pc</t>
  </si>
  <si>
    <t>WYK-CSWHO</t>
  </si>
  <si>
    <t>Crack stitch who 60 grout (yellow) bucket 3lt</t>
  </si>
  <si>
    <t>WYK-CRIMPS</t>
  </si>
  <si>
    <t>Crimp connectors 1pc (bag of 10)</t>
  </si>
  <si>
    <t>WYK-CARTRIDGENOZ</t>
  </si>
  <si>
    <t>crt nozzle 400 1pc</t>
  </si>
  <si>
    <t>WYK-CARTCOMPLETE</t>
  </si>
  <si>
    <t>crt set complete unit 0.6kg</t>
  </si>
  <si>
    <t>unit</t>
  </si>
  <si>
    <t>Dampflex Adhesive Grey bag 20kg</t>
  </si>
  <si>
    <t>CERAMIC TILES PRODUCTS</t>
  </si>
  <si>
    <t>A01</t>
  </si>
  <si>
    <t>CEMENT BASED ADHESIVES</t>
  </si>
  <si>
    <t>C2F ADHESIVES</t>
  </si>
  <si>
    <t>WYK-DAMPFLEX1.2X15</t>
  </si>
  <si>
    <t>Dampflex Waterproof membrane 1.2m x 15m roll 18sm</t>
  </si>
  <si>
    <t>MEMBRANE FULLY BONDED</t>
  </si>
  <si>
    <t>WYK-PUNITS</t>
  </si>
  <si>
    <t>Damproofing power units 1pc</t>
  </si>
  <si>
    <t>WYK-DAMPSOLVE1LTR</t>
  </si>
  <si>
    <t>Dampsolve crt 1lt (box of 8)</t>
  </si>
  <si>
    <t>WYK-DAMPSOLVE380ML</t>
  </si>
  <si>
    <t>Dampsolve crt 380ml (box of 14)</t>
  </si>
  <si>
    <t>WYK-DAMPSOLVE5LTR</t>
  </si>
  <si>
    <t>Dampsolve dpc cream bucket 5lt</t>
  </si>
  <si>
    <t>WYK-PLATDPC8</t>
  </si>
  <si>
    <t>Dampsolve dpc cream bucket 8lt (box of 1)</t>
  </si>
  <si>
    <t>WYK-KMESHECOKIT</t>
  </si>
  <si>
    <t>Dampstop Membrane Kit 1 x 10m unit 5kg</t>
  </si>
  <si>
    <t>WYK-DAMPSTORETANKB20</t>
  </si>
  <si>
    <t>Dampstore tanking slurry bucket 20kg</t>
  </si>
  <si>
    <t>CEMENT BASED COATINGS</t>
  </si>
  <si>
    <t>WYK-DAMPSTOREULTR380</t>
  </si>
  <si>
    <t>Dampstore ultracure crt 380ml (box of 14)</t>
  </si>
  <si>
    <t>795601KIT</t>
  </si>
  <si>
    <t>DLP WET ROOM KIT</t>
  </si>
  <si>
    <t>TAPES FOR EXPANSION JOINTS</t>
  </si>
  <si>
    <t>WYK-SUMPDPK</t>
  </si>
  <si>
    <t>Double sump pipework kit single outlet (kit b) 1pc</t>
  </si>
  <si>
    <t>WYK-SUMPDPK2</t>
  </si>
  <si>
    <t>Double sump pipework kit twin outlet (kit c) 1pc</t>
  </si>
  <si>
    <t>WYK-DRAINFLOECOKIT</t>
  </si>
  <si>
    <t>Drainflo eco kit 230v ac automatic sub pump&amp;green chamber pc</t>
  </si>
  <si>
    <t>WYK-DRYMESHACCPK</t>
  </si>
  <si>
    <t>Drymesh accessory pack unit 3.74kg</t>
  </si>
  <si>
    <t>WYK-DRYSEAL3</t>
  </si>
  <si>
    <t>Dryseal bucket 3lt</t>
  </si>
  <si>
    <t>Dryseal IBC 1000lt /827kg</t>
  </si>
  <si>
    <t>IBC</t>
  </si>
  <si>
    <t>lt</t>
  </si>
  <si>
    <t>WYK-DRYSEAL5L</t>
  </si>
  <si>
    <t>Dryseal unlabelled (special) bucket 5lt</t>
  </si>
  <si>
    <t>WYK-DRYSEAL20LT</t>
  </si>
  <si>
    <t>Dryseal unlabelled bucket 20lt</t>
  </si>
  <si>
    <t>WYK-COMPADRYTNOZ</t>
  </si>
  <si>
    <t>Drytech nozzle component a body 1pc (box of 1000)</t>
  </si>
  <si>
    <t>WYK-COMPBDRYTNOZ</t>
  </si>
  <si>
    <t>Drytech nozzle component b tube 1pc (box of 1000)</t>
  </si>
  <si>
    <t>WYK-COMPCDRYTNOZ</t>
  </si>
  <si>
    <t>Drytech nozzle component c hose 1pc</t>
  </si>
  <si>
    <t>WYK-COMPDDRYTNOZ</t>
  </si>
  <si>
    <t>Drytech nozzle component d hoseclip 1pc</t>
  </si>
  <si>
    <t>WYK-COMPGDRYTNOZ</t>
  </si>
  <si>
    <t>Drytech nozzle component g oring 1pc</t>
  </si>
  <si>
    <t>WYK-ERODS</t>
  </si>
  <si>
    <t>Earth rod 1pc</t>
  </si>
  <si>
    <t>WYK-ERODCLAMPKIT</t>
  </si>
  <si>
    <t>Earth rod and clamp kit 1pc</t>
  </si>
  <si>
    <t>WYK-CLAMP</t>
  </si>
  <si>
    <t>Earth rod clamp 1pc</t>
  </si>
  <si>
    <t>WYK-EARTHWIRE</t>
  </si>
  <si>
    <t>Earth wire 1.5mm(permt) 1pc</t>
  </si>
  <si>
    <t>WYK-CRIMPTOOL2</t>
  </si>
  <si>
    <t>Economy crimping tool 1pc</t>
  </si>
  <si>
    <t>WYK-ELK</t>
  </si>
  <si>
    <t>Elkay plug 1pc</t>
  </si>
  <si>
    <t>WYK-ENVCONC</t>
  </si>
  <si>
    <t>Enviroseal concentrate jerrycan 2lt (box of 6)</t>
  </si>
  <si>
    <t>WYK-ENVIRO25LT</t>
  </si>
  <si>
    <t>Enviroseal jerrycan 25lt</t>
  </si>
  <si>
    <t>WYK-ENVIRO5LT</t>
  </si>
  <si>
    <t>Enviroseal jerrycan 5lt (box of 4)</t>
  </si>
  <si>
    <t>WYK-TWS-PUPRIMER5LTR</t>
  </si>
  <si>
    <t>Fastcoat pu primer bucket 5lt</t>
  </si>
  <si>
    <t>POLYURETHANE BASED COATINGS</t>
  </si>
  <si>
    <t>WYK-TWFPT</t>
  </si>
  <si>
    <t>Finger pointing trowel 1pc</t>
  </si>
  <si>
    <t>WYK-DRYFIXTOOL</t>
  </si>
  <si>
    <t>Fixing tool drive tie wall ties (dryfix tool) bag 0.31kg</t>
  </si>
  <si>
    <t>WYK-FLOATARM</t>
  </si>
  <si>
    <t>Float arm kit for ksb pump 1pc</t>
  </si>
  <si>
    <t>WYK-FLOATSWITCH</t>
  </si>
  <si>
    <t>Float switch for sump/backup 1pc</t>
  </si>
  <si>
    <t>WYK-FDCHANNEL</t>
  </si>
  <si>
    <t>Floordrain channel 2mtrs 1pc</t>
  </si>
  <si>
    <t>Foamjet 260 LV /A jerrycan 20kg</t>
  </si>
  <si>
    <t>POLYURETHANE RESINS FOR INJECTION</t>
  </si>
  <si>
    <t>kg</t>
  </si>
  <si>
    <t>Foamjet 260 LV /B jerrycan 24kg</t>
  </si>
  <si>
    <t>Foamjet 260 LV AKS bottle 1kg (box of 10)</t>
  </si>
  <si>
    <t>bottle</t>
  </si>
  <si>
    <t>Foamjet F /A jerrycan 20kg</t>
  </si>
  <si>
    <t>Foamjet F /B jerrycan 23kg</t>
  </si>
  <si>
    <t>Foamjet T /A jerrycan 20kg</t>
  </si>
  <si>
    <t>Foamjet T /B jerrycan 24kg</t>
  </si>
  <si>
    <t>WYK-WYKGELRET25</t>
  </si>
  <si>
    <t>Gel retarder jerrycan 25lt</t>
  </si>
  <si>
    <t>WYK-profilestrip2</t>
  </si>
  <si>
    <t>Geotextile profile strip 1pc</t>
  </si>
  <si>
    <t>WYK-GREENSLEEVING</t>
  </si>
  <si>
    <t>Green sleeving (per metre) 1pc</t>
  </si>
  <si>
    <t>WYK-EPOXY-CS300G</t>
  </si>
  <si>
    <t>Grey crack seal epoxy resin filler crt 0.5kg (box of 1)</t>
  </si>
  <si>
    <t>EPOXY RESINS FOR INJECTION</t>
  </si>
  <si>
    <t>WYK-THGTPN10</t>
  </si>
  <si>
    <t>Grout tie pinning nozzle 1mtr 1pc</t>
  </si>
  <si>
    <t>WYK-WHOGM</t>
  </si>
  <si>
    <t>Groutmaster mortar pump 1pc</t>
  </si>
  <si>
    <t>WYK-SUMPFLOCVRHD350</t>
  </si>
  <si>
    <t>Heavy duty sumpflo metal cover locking 350mmx350mm 1pc</t>
  </si>
  <si>
    <t>WYK-SUMPFLOCVRHD</t>
  </si>
  <si>
    <t>Heavy duty sumpflo metal cover locking 450mmx450mm 1pc</t>
  </si>
  <si>
    <t>WYK-NMDHIPF</t>
  </si>
  <si>
    <t>High Impact Plaster Finish bag 25kg</t>
  </si>
  <si>
    <t>WYK-ECLIPSE</t>
  </si>
  <si>
    <t>Hrv150 heat recovery ventilator (single room) 1pc</t>
  </si>
  <si>
    <t>WYK-HYDRA20</t>
  </si>
  <si>
    <t>Hydradry Tanking Slurry bag 20kg</t>
  </si>
  <si>
    <t>WYK-HYDRABUCK20</t>
  </si>
  <si>
    <t>Hydradry Tanking Slurry bucket 20kg</t>
  </si>
  <si>
    <t>WYK-UNIMORT</t>
  </si>
  <si>
    <t>Hydradry universal mortar bag 25kg</t>
  </si>
  <si>
    <t>WYK-HYDRAFLEX20</t>
  </si>
  <si>
    <t>Hydraflex 2 component flexable tanking slurry unit 20.15kg</t>
  </si>
  <si>
    <t>WYK-HYDRAFLEXLP5</t>
  </si>
  <si>
    <t>Hydraflex liquid polymer bucket 5lt</t>
  </si>
  <si>
    <t>WYK-HYDRAFLEXP15</t>
  </si>
  <si>
    <t>Hydraflex powder bag 15kg</t>
  </si>
  <si>
    <t>WYK-HYDROCOAT</t>
  </si>
  <si>
    <t>Hydrocoat tanking slurry hss bucket 20kg</t>
  </si>
  <si>
    <t>WYK-HYDROCOATBAG</t>
  </si>
  <si>
    <t>Hydrocoat tanking slurry hss-20 bag 20kg</t>
  </si>
  <si>
    <t>Idroprimer bucket 20lt /20.4kg</t>
  </si>
  <si>
    <t>BITUMINOUS BASED COATINGS &amp; PRIMERS</t>
  </si>
  <si>
    <t>Idrostop 10 (20x10) roll 10mt (box of 6)</t>
  </si>
  <si>
    <t>m</t>
  </si>
  <si>
    <t>Idrostop 15 (20x15) roll 7mt (box of 6)</t>
  </si>
  <si>
    <t>Idrostop 25 (20x25) roll 5mt (box of 6)</t>
  </si>
  <si>
    <t>Idrostop B25 N roll 5mt (box of 6)</t>
  </si>
  <si>
    <t>box</t>
  </si>
  <si>
    <t>Idrostop Mastic crt 300ml/10.14oz (box of 12)</t>
  </si>
  <si>
    <t>17568KIT</t>
  </si>
  <si>
    <t>Idrostop Multi 15 ME kit</t>
  </si>
  <si>
    <t>RE-INJECTABLE HOSES</t>
  </si>
  <si>
    <t>17569KIT</t>
  </si>
  <si>
    <t>Idrostop Multi 19 ME kit</t>
  </si>
  <si>
    <t>Idrostop Multi ST 12 1pc (box of 100)</t>
  </si>
  <si>
    <t>Idrostop PVC BE 20 roll 20mt</t>
  </si>
  <si>
    <t>WATERSTOP</t>
  </si>
  <si>
    <t>Idrostop PVC BE 25 roll 15mt</t>
  </si>
  <si>
    <t>Idrostop PVC BI 30 roll 20mt</t>
  </si>
  <si>
    <t>Idrostop PVC BI 35 roll 15mt</t>
  </si>
  <si>
    <t>Idrostop PVC BI25 roll 20mt</t>
  </si>
  <si>
    <t>Idrostop PVC KR 120 roll 15mt</t>
  </si>
  <si>
    <t>Idrostop PVC RE 25 roll 15mt</t>
  </si>
  <si>
    <t>Idrostop PVC RI 15 roll 50mt</t>
  </si>
  <si>
    <t>Idrostop PVC RI 20 roll 50mt</t>
  </si>
  <si>
    <t>Idrostop PVC RI 30 roll 25mt</t>
  </si>
  <si>
    <t>Idrostop Soft roll 5mt (box of 6)</t>
  </si>
  <si>
    <t>WYK-CONDRY1</t>
  </si>
  <si>
    <t>Injection cream crt 1lt (box of 8)</t>
  </si>
  <si>
    <t>WYK-ISOTHERM7.5X0.95</t>
  </si>
  <si>
    <t>IsoTherm Membrane (7.5x0.95mt) roll 7.125sm</t>
  </si>
  <si>
    <t>ANTI-CONDENSATION THERMAL MEMBRANES</t>
  </si>
  <si>
    <t>WYK-KEM</t>
  </si>
  <si>
    <t>Kemgrout bag 25kg</t>
  </si>
  <si>
    <t>C04</t>
  </si>
  <si>
    <t>ANCHORING AND GROUTING</t>
  </si>
  <si>
    <t>PRECISION GROUTS</t>
  </si>
  <si>
    <t>WYK-KENSUPERFLEXB.20</t>
  </si>
  <si>
    <t>Kenwood superflex tanking bucket 20kg</t>
  </si>
  <si>
    <t>WYK-KENTANK20</t>
  </si>
  <si>
    <t>Kenwood tanking slurry bag 20kg</t>
  </si>
  <si>
    <t>WYK-KHRV150EXT</t>
  </si>
  <si>
    <t>Khrv150 extension kit unit 2.4kg</t>
  </si>
  <si>
    <t>WYK-KHRV150FLTP</t>
  </si>
  <si>
    <t>Khrv150 replacement filter pack 1pc</t>
  </si>
  <si>
    <t>WYK-KIES</t>
  </si>
  <si>
    <t>Kiesol jerrycan 5kg</t>
  </si>
  <si>
    <t>SILICATE BASED COATINGS</t>
  </si>
  <si>
    <t>WYK-KIESOLMB</t>
  </si>
  <si>
    <t>Kiesol mb Jerrycan 10lt</t>
  </si>
  <si>
    <t>WYK-PUMPONLY5</t>
  </si>
  <si>
    <t>Kp250 pump internal float 1pc</t>
  </si>
  <si>
    <t>166145A</t>
  </si>
  <si>
    <t>Lamposilex ALU bag 5kg (box of 4)</t>
  </si>
  <si>
    <t>FAST SETTING WATERSTOP</t>
  </si>
  <si>
    <t>WYK-THLRTK</t>
  </si>
  <si>
    <t>Lateral restraint key (sds+) 1pc</t>
  </si>
  <si>
    <t>WYK-LIGPROD156</t>
  </si>
  <si>
    <t>Lignum pro d156 conc.(fungi.&amp;insecti.) jerrycan 1lt(boxof10)</t>
  </si>
  <si>
    <t>WOOD IMPREGNATION</t>
  </si>
  <si>
    <t>WYK-LIGPROGEL7.5</t>
  </si>
  <si>
    <t>Lignum pro gel bucket 7.5kg</t>
  </si>
  <si>
    <t>WYK-LIGPRO162.5</t>
  </si>
  <si>
    <t>Lignum pro i62.5 conc.(insecticide) jerrycan 1lt (box of 10)</t>
  </si>
  <si>
    <t>WYK-LIGPROM50</t>
  </si>
  <si>
    <t>Lignum pro m50 biocide masonry dry rot jerrycan 1lt(boxof10)</t>
  </si>
  <si>
    <t>WYK-WYKLIQRET25</t>
  </si>
  <si>
    <t>Liquid retarder jerrycan 25lt</t>
  </si>
  <si>
    <t>WYK-VENT/474497</t>
  </si>
  <si>
    <t>Lo-carbon nbr dmeve ht 100 fan 1pc</t>
  </si>
  <si>
    <t>WYK-THLRTEND</t>
  </si>
  <si>
    <t>Lrt key sds end (9dith70ho) 1pc</t>
  </si>
  <si>
    <t>WYK-THLRTTOP</t>
  </si>
  <si>
    <t>Lrt key top piece (9dsds140dr) 1pc</t>
  </si>
  <si>
    <t>WYK-THLRT10</t>
  </si>
  <si>
    <t>M8 x 1000mm lateral restraint 1pc</t>
  </si>
  <si>
    <t>WYK-THLRT12</t>
  </si>
  <si>
    <t>M8 x 1200mm lateral restraint 1pc</t>
  </si>
  <si>
    <t>WYK-THLRT15</t>
  </si>
  <si>
    <t>M8 x 1500mm lateral restraint 1pc</t>
  </si>
  <si>
    <t>WYK-THLRT20</t>
  </si>
  <si>
    <t>M8 x 2000mm lateral restraint 1pc</t>
  </si>
  <si>
    <t>Mapeband Easy External Corner 270° 1pc (box of 10)</t>
  </si>
  <si>
    <t>Mapeband Easy H130 roll 10mt</t>
  </si>
  <si>
    <t>Mapeband Easy H130 roll 30mt</t>
  </si>
  <si>
    <t>Mapeband Easy Internal Corner 90° 1pc (box of 10)</t>
  </si>
  <si>
    <t>Mapeband External Corner 1pc (box of 50)</t>
  </si>
  <si>
    <t>Mapeband Flex roll 200-1 roll 20mt</t>
  </si>
  <si>
    <t>Mapeband Flex roll 200-2 roll 20mt</t>
  </si>
  <si>
    <t>Mapeband Flex roll 400-2 roll 20mt</t>
  </si>
  <si>
    <t>Mapeband Gasket for Outlets 120x120mm box 1pc</t>
  </si>
  <si>
    <t>Mapeband Gasket for Outlets 400x400mm 1pc (box of 10)</t>
  </si>
  <si>
    <t>Mapeband H. 12cm roll 50mt</t>
  </si>
  <si>
    <t>Mapeband Internal Corner 1pc (box of 50)</t>
  </si>
  <si>
    <t>7953005WIK</t>
  </si>
  <si>
    <t>Mapeband PE 120 /WIK roll 5mt</t>
  </si>
  <si>
    <t>Mapeband PE 120 External Corner 1pc (box of 10)</t>
  </si>
  <si>
    <t>Mapeband PE 120 Internal Corner 1pc (box of 10)</t>
  </si>
  <si>
    <t>Mapeband PE 120 roll 10mt</t>
  </si>
  <si>
    <t>Mapeband PE 120 roll 5mt</t>
  </si>
  <si>
    <t>Mapeband SA roll 25mt</t>
  </si>
  <si>
    <t>BUTYLIC TAPES</t>
  </si>
  <si>
    <t>Mapeband TPE 170 roll 30mt /98.43ft</t>
  </si>
  <si>
    <t>Mapeband TPE 325 roll 30mt /98.43ft</t>
  </si>
  <si>
    <t>Mapecoat Filler bucket 2kg /4.408lb</t>
  </si>
  <si>
    <t>Mapegel AW /1  jerrycan 25kg /55.1lb</t>
  </si>
  <si>
    <t>Mapegel AW /2 bottle 2.5kg/5.51lb (box of 4)</t>
  </si>
  <si>
    <t>Mapegel AW /3 bottle 0.5kg/1.102lb (box of 24)</t>
  </si>
  <si>
    <t>Mapegel E/100 Comp.1 jerrycan 25kg/55.1lb</t>
  </si>
  <si>
    <t>Mapegel E/100 Comp.2 bottle 2.5kg/5.51lb (box of 4)</t>
  </si>
  <si>
    <t>Mapegel E/100 Comp.3 bottle 0.5kg/1.102lb (box of 24)</t>
  </si>
  <si>
    <t>Mapegel E/100 Comp.4 jerrycan 25kg/55.1lb</t>
  </si>
  <si>
    <t>Mapegum WPS bucket 10kg</t>
  </si>
  <si>
    <t>LIQUID ELASTIC MEMBRANES</t>
  </si>
  <si>
    <t>Mapegum WPS bucket 20kg</t>
  </si>
  <si>
    <t>Mapegum WPS bucket 5kg</t>
  </si>
  <si>
    <t>1677124KIT</t>
  </si>
  <si>
    <t>Mapelastic 2KR PLUS unit 24kg</t>
  </si>
  <si>
    <t>CEMENT BASED FLEXIBLE COATING</t>
  </si>
  <si>
    <t>Mapelastic Aquadefense bucket 15kg</t>
  </si>
  <si>
    <t>Mapelastic Aquadefense bucket 7.5kg</t>
  </si>
  <si>
    <t>7345207SFX</t>
  </si>
  <si>
    <t>Mapelastic Aquadefense S/Fix bucket 7.5kg</t>
  </si>
  <si>
    <t>7345208KIT</t>
  </si>
  <si>
    <t>Mapelastic Aquadefense Tanking Kit</t>
  </si>
  <si>
    <t>Mapelastic Foundation /A bag 22kg</t>
  </si>
  <si>
    <t>Mapelastic Foundation /B jerrycan 10kg</t>
  </si>
  <si>
    <t>Mapelastic TU System Green drum 260kg</t>
  </si>
  <si>
    <t>drum</t>
  </si>
  <si>
    <t>MAPELASTIC TU</t>
  </si>
  <si>
    <t>Mapelastic TU System White drum 260kg /208lt</t>
  </si>
  <si>
    <t>Mapelastic Turbo Zero /A bag 10kg</t>
  </si>
  <si>
    <t>Mapelastic Turbo Zero /A bag 20kg</t>
  </si>
  <si>
    <t>Mapelastic Turbo Zero /B jerrycan 16kg</t>
  </si>
  <si>
    <t>Mapelastic Turbo Zero /B jerrycan 8kg</t>
  </si>
  <si>
    <t>Mapelastic Zero (A+B) unit 16kg</t>
  </si>
  <si>
    <t>Mapelastic Zero /A bag 24kg</t>
  </si>
  <si>
    <t>Mapelastic Zero /B jerrycan 8kg</t>
  </si>
  <si>
    <t>Mapenet 150 roll 1x50mt</t>
  </si>
  <si>
    <t>REINFORCEMENT &amp; NET</t>
  </si>
  <si>
    <t>Mapeplan Anchoring 250 mm 1pc</t>
  </si>
  <si>
    <t>TUNNEL MEMBRANE ACCESSORY</t>
  </si>
  <si>
    <t>Mapeplan Dischi Di Fissg Pvc Ø 80mm Foro 3mm pc (box of 300)</t>
  </si>
  <si>
    <t>ROOFING SPECIAL ACCESSORIES</t>
  </si>
  <si>
    <t>Mapeplan Injection Valve 1pc (box of 10)</t>
  </si>
  <si>
    <t>Mapeplan Joint R15 roll 100mt /328.1ft</t>
  </si>
  <si>
    <t>Mapeplan Profilo di Bordo Sviluppo 165x2000mm pc (box of 10)</t>
  </si>
  <si>
    <t>Mapeplan Profilo Parete Sviluppo 70x2000mm 1pc (box of 10)</t>
  </si>
  <si>
    <t>Mapeplan Profilo Piano Sviluppo 60x2000mm 1pc (box of 10)</t>
  </si>
  <si>
    <t>Mapeplan Protection 15 2.10x20 42sm /452.088sqft</t>
  </si>
  <si>
    <t>PVC MEMBRANES TUNNEL</t>
  </si>
  <si>
    <t>m2</t>
  </si>
  <si>
    <t>Mapeplan TE Waterstop 400mm Asimmetrico roll 15mt</t>
  </si>
  <si>
    <t>Mapeplan TT ST 20 2.10x20 roll 42sm</t>
  </si>
  <si>
    <t>Mapeplan TU S 20 2.10x20mt roll 42sm /452.088sqft</t>
  </si>
  <si>
    <t>Mapeplan TU WL BR 20 2.10x20</t>
  </si>
  <si>
    <t>Mapeplan TU WL BR 21 roll 42sm</t>
  </si>
  <si>
    <t>Mapeplan Waterstop 250mm roll 20 m</t>
  </si>
  <si>
    <t>Mapeplan Waterstop 400 roll 20mt /65.62ft</t>
  </si>
  <si>
    <t>Mapeplan Waterstop 400mm L Joint 1pc</t>
  </si>
  <si>
    <t>Mapeplan Waterstop 400mm T Joint 1pc</t>
  </si>
  <si>
    <t>Mapeplan Waterstop 400mm X Joint 1pc</t>
  </si>
  <si>
    <t>Mapeplan Waterstop BR 400mm con bulbo roll 15m/49.215ft</t>
  </si>
  <si>
    <t>Mapeplan Waterstop BR 400mm roll 15mt /49.215ft</t>
  </si>
  <si>
    <t>Mapeproof AL 1200 AP 1x20m roll 20sm</t>
  </si>
  <si>
    <t>Mapeproof AL AP + 1x20mt roll 20sm</t>
  </si>
  <si>
    <t>Mapeproof AL AP roll 20sm</t>
  </si>
  <si>
    <t>Mapeproof AL Tape D10 AP roll 20mt (box of 4)</t>
  </si>
  <si>
    <t>Mapeproof AL Tape S15 roll 20mt</t>
  </si>
  <si>
    <t>Mapeproof CD 1pc (box of 500)</t>
  </si>
  <si>
    <t>Mapeproof FBH 1x20mt roll 20sm</t>
  </si>
  <si>
    <t>Mapeproof FBT 1x20mt roll 20sm</t>
  </si>
  <si>
    <t>Mapeproof FBT Tape 600 box 15cmx20mt</t>
  </si>
  <si>
    <t>Mapeproof FIX Tape box 20cmx25mt</t>
  </si>
  <si>
    <t>Mapeproof HW N roll 1.15x5sm</t>
  </si>
  <si>
    <t>Mapeproof Liquid Membrane unit 3.5kg</t>
  </si>
  <si>
    <t>Mapeproof Mastic bucket 15kg</t>
  </si>
  <si>
    <t>Mapeproof SA Primer bucket 10kg</t>
  </si>
  <si>
    <t>Mapeproof SA Tape box 20cmx20mt</t>
  </si>
  <si>
    <t>Mapeproof Seal N bag 25kg</t>
  </si>
  <si>
    <t>Mapeproof Swell crt 320ml (box of 6)</t>
  </si>
  <si>
    <t>Mapetex 110 H 1.05x50mt roll 52.5sm</t>
  </si>
  <si>
    <t>Mapetex 110 H 26.25 cm roll 50mt</t>
  </si>
  <si>
    <t>Mapetex 50 H100 roll 25mt</t>
  </si>
  <si>
    <t>Mapetex FG 1x50 roll 50sm (box of 4)</t>
  </si>
  <si>
    <t>Mapetex Sel N 25x1mt roll 25sm</t>
  </si>
  <si>
    <t>50170350601MAP</t>
  </si>
  <si>
    <t>Mapethene EQ 1.2mm WP 1x20mt roll 20sm</t>
  </si>
  <si>
    <t>POST-APPLYED SELF-ADHESIVES BITUMEN MEMBRANES</t>
  </si>
  <si>
    <t>50100350601MAP</t>
  </si>
  <si>
    <t>Mapethene LT 1.5mm WP 1mt roll 20mt</t>
  </si>
  <si>
    <t>Mapethene Primer bucket 5kg</t>
  </si>
  <si>
    <t>Mapethene Primer W bucket 10kg</t>
  </si>
  <si>
    <t>WYK-MCS1</t>
  </si>
  <si>
    <t>MCS1 Mould Clear Concentrate jerrycan 5lt (box of 4)</t>
  </si>
  <si>
    <t>A05</t>
  </si>
  <si>
    <t>OTHER PRODUCTS FOR CERAMIC TILES</t>
  </si>
  <si>
    <t>CLEANING - MOULD CLEANER</t>
  </si>
  <si>
    <t>WYK-MCS1500ML</t>
  </si>
  <si>
    <t>MCS1 Mould Clear Solution bottle 500ml</t>
  </si>
  <si>
    <t>WYK-MCS15L</t>
  </si>
  <si>
    <t>MCS1 Mould Clear Solution jerrycan 5lt (box of 4)</t>
  </si>
  <si>
    <t>WYK-MTBIO160G</t>
  </si>
  <si>
    <t>Microtech biocide 160g 1pc (box of 15)</t>
  </si>
  <si>
    <t>WYK-MTECHDUALC</t>
  </si>
  <si>
    <t>Microtech dual purpose f/i concentrate bottle 0.4kg(boxof15)</t>
  </si>
  <si>
    <t>WYK-MTECHINSC</t>
  </si>
  <si>
    <t>Microtech insecticide concentrate bottle 0.15kg (box of 15)</t>
  </si>
  <si>
    <t>WYK-MICROPIF2LTR</t>
  </si>
  <si>
    <t>Microtech pressure injection fluid jerrycan 2lt (box of 6)</t>
  </si>
  <si>
    <t>WYK-4410</t>
  </si>
  <si>
    <t>New protimeter digital mini bld5702 1pc</t>
  </si>
  <si>
    <t>WYK-NOHYDROLDPM5LB</t>
  </si>
  <si>
    <t>No hydro liquid applied dpm black bucket 5lt</t>
  </si>
  <si>
    <t>WYK-NOHYDROTANK20</t>
  </si>
  <si>
    <t>No hydro tanking slurry bag 20kg</t>
  </si>
  <si>
    <t>WYK-NMDTHERMDRY2.5</t>
  </si>
  <si>
    <t>No more damp thermaldry bucket 2.5lt</t>
  </si>
  <si>
    <t>ANTI-CONDENSATION COATINGS</t>
  </si>
  <si>
    <t>WYK-NMDTHERMDRY5</t>
  </si>
  <si>
    <t>No more damp thermaldry bucket 5lt</t>
  </si>
  <si>
    <t>WYK-PUMPNONRET</t>
  </si>
  <si>
    <t>Non return valve for pump 1pc</t>
  </si>
  <si>
    <t>Passi-Vent 230 1pc (box of 1)</t>
  </si>
  <si>
    <t>Passi-Vent 75 1pc (box of 1)</t>
  </si>
  <si>
    <t>WYK-PE380-1</t>
  </si>
  <si>
    <t>Pe grey polyester resin crt 380ml (box of 12)</t>
  </si>
  <si>
    <t>C09</t>
  </si>
  <si>
    <t>OTHER PRODUCTS FOR CONSTRUCTION</t>
  </si>
  <si>
    <t>CHEMICAL ANCHORS &amp; ACCESSORIES</t>
  </si>
  <si>
    <t>WYK-PINNOZSET</t>
  </si>
  <si>
    <t>Pinning nozzle &amp; collet set 1pc</t>
  </si>
  <si>
    <t>WYK-THPNC</t>
  </si>
  <si>
    <t>Pinning nozzle collet 1pc</t>
  </si>
  <si>
    <t>WYK-PBRICKPLUG100</t>
  </si>
  <si>
    <t>Plain brick plug 100 (60mm no seals) (black) bag 0.7kg</t>
  </si>
  <si>
    <t>WYK-PBRICKSEAL100</t>
  </si>
  <si>
    <t>Plain brick plug with seal 100 (60mm) (red seal) bag 0.7kg</t>
  </si>
  <si>
    <t>WYK-PCSTRIP20(2)</t>
  </si>
  <si>
    <t>Plain corner strip roll 20mt (box of 2)</t>
  </si>
  <si>
    <t>WYK-PCSTRIP20-2</t>
  </si>
  <si>
    <t>WYK-PFIBRE</t>
  </si>
  <si>
    <t>Plain fibre tape 1mm x 115mm roll 25mt</t>
  </si>
  <si>
    <t>WYK-PFLEXTANK20</t>
  </si>
  <si>
    <t>Plain flexible tanking slurry bucket 20kg</t>
  </si>
  <si>
    <t>WYK-PGASTAPE50</t>
  </si>
  <si>
    <t>Plain gas tape 1mm x 50mm x 40mts roll 40mt</t>
  </si>
  <si>
    <t>WYK-POVERSEAL</t>
  </si>
  <si>
    <t>Plain overseal tape 75mm x 2mm x 22.5m roll 22.5mt</t>
  </si>
  <si>
    <t>WYK-PPLASTERPLUG100</t>
  </si>
  <si>
    <t>Plain plaster plug 100 (70mm no seals) bag 0.8kg</t>
  </si>
  <si>
    <t>WYK-PPLASTEPLUGG200</t>
  </si>
  <si>
    <t>Plain plaster plug green (200) bag 1.4kg</t>
  </si>
  <si>
    <t>WYK-PPLASTERSEAL100</t>
  </si>
  <si>
    <t>Plain plaster plugs with seal 100(70mm with seals) bag 0.8kg</t>
  </si>
  <si>
    <t>WYK-PPLASTERSEALG200</t>
  </si>
  <si>
    <t>Plain plasterplug with seals green (200) bag 1.6kg</t>
  </si>
  <si>
    <t>WYK-PROPE</t>
  </si>
  <si>
    <t>Plain rope 10mm x 5m roll 5mt</t>
  </si>
  <si>
    <t>WYK-PSUPERSEALTAPE20</t>
  </si>
  <si>
    <t>Plain superseal tape 1.5mm x 150mm roll 20mt (box of 2)</t>
  </si>
  <si>
    <t>WYK-PTANK20</t>
  </si>
  <si>
    <t>Plain tanking slurry bag 20kg</t>
  </si>
  <si>
    <t>WYK-PTANKBUCK20</t>
  </si>
  <si>
    <t>Plain tanking slurry bucket 20kg</t>
  </si>
  <si>
    <t>WYK-PTAPE</t>
  </si>
  <si>
    <t>Plain tape 28mm x 2mm x 22.5m roll 22.5mt</t>
  </si>
  <si>
    <t>WYK-PTW</t>
  </si>
  <si>
    <t>Plain titanium wire 1mt (roll of 50)</t>
  </si>
  <si>
    <t>Planiseal 88 Grey bag 25kg</t>
  </si>
  <si>
    <t>Planiseal 88 White bag 25kg</t>
  </si>
  <si>
    <t>Planiseal DW bag 25kg</t>
  </si>
  <si>
    <t>WYK-PPLASTERP50-500</t>
  </si>
  <si>
    <t>Plaster plug 50mm box 500 pc</t>
  </si>
  <si>
    <t>WYK-PPLASTERP70-500</t>
  </si>
  <si>
    <t>Plaster plug 70mm box 500 pc</t>
  </si>
  <si>
    <t>WYK-NOZZEXTD1</t>
  </si>
  <si>
    <t>Plastic extended nozzle for 1ltr ultracure crt 1pc</t>
  </si>
  <si>
    <t>WYK-NOZZEXTD</t>
  </si>
  <si>
    <t>Plastic extended nozzle for 380cc crt 1pc</t>
  </si>
  <si>
    <t>WYK-ISF35-110POLY250</t>
  </si>
  <si>
    <t>Plastic insulation anchor 110mm bag 250pc</t>
  </si>
  <si>
    <t>WYK-ISF35-130POLY250</t>
  </si>
  <si>
    <t>Plastic insulation anchor 130mm bag 250pc</t>
  </si>
  <si>
    <t>WYK-ISF35-90-POLY250</t>
  </si>
  <si>
    <t>Plastic insulation anchor 90mm bag 250pc</t>
  </si>
  <si>
    <t>Plastimul bucket 12kg</t>
  </si>
  <si>
    <t>Plastimul bucket 20kg</t>
  </si>
  <si>
    <t>WYK-PN1FX10X250</t>
  </si>
  <si>
    <t>Pn 10 x 250 neoprene one fix 1pc (box of 200)</t>
  </si>
  <si>
    <t>WYK-PN1FX10X175</t>
  </si>
  <si>
    <t>Pn 11 x 175 neoprene one fix 1pc (box of 200)</t>
  </si>
  <si>
    <t>WYK-PN1FX10X200</t>
  </si>
  <si>
    <t>Pn 11 x 200 one fix neoprene 1pc (box of 200)</t>
  </si>
  <si>
    <t>WYK-PN1FX10X213</t>
  </si>
  <si>
    <t>Pn 11 x 213 neoprene one fix 1pc (box of 200)</t>
  </si>
  <si>
    <t>WYK-PN1FX10X225</t>
  </si>
  <si>
    <t>Pn 11 x 225 neoprene one fix 1pc (box of 200)</t>
  </si>
  <si>
    <t>WYK-PN1FX10X305</t>
  </si>
  <si>
    <t>Pn 1fx 10 x 305 neoprene one fix ties 1pc (box of 200)</t>
  </si>
  <si>
    <t>Poliestere 60 gr./sm. (H.1xL.100) roll 100sm</t>
  </si>
  <si>
    <t>Polycoll bucket 25kg</t>
  </si>
  <si>
    <t>ROOFING SPECIAL ADHESIVE</t>
  </si>
  <si>
    <t>Polycoll bucket 5kg</t>
  </si>
  <si>
    <t>Polydren PL 200 gr/sm H100 cm L100 roll 100sm</t>
  </si>
  <si>
    <t>Polydren PP HT Gr. 500 roll 2x50mt 100sm /1076.4 sqft</t>
  </si>
  <si>
    <t>Polydren PP HT Gr. 700 roll 2x40mt 80sm /861.1sqft</t>
  </si>
  <si>
    <t>Polyfond Kit Drain 2x20mt roll 40sm</t>
  </si>
  <si>
    <t>50140350701PYU</t>
  </si>
  <si>
    <t>Polyglass ALU 0.8mm WP 1x30mt roll 30sm (box of 1)</t>
  </si>
  <si>
    <t>BITUMINOUS TAPES</t>
  </si>
  <si>
    <t>Polyprimer CE bucket 20lt /18.6kg</t>
  </si>
  <si>
    <t>Polyprimer HP 45 T.F. Professional bucket 20lt /19.4kg</t>
  </si>
  <si>
    <t>WYK-P/PACK</t>
  </si>
  <si>
    <t>Power packs (lectros) 1pc</t>
  </si>
  <si>
    <t>WYK-POWERMAXX2</t>
  </si>
  <si>
    <t>Powermaxx 2 (ups) for alertmaxx2 1pc</t>
  </si>
  <si>
    <t>WYK-AUTONEW</t>
  </si>
  <si>
    <t>Premium wall tie fixing tool m5 1pc</t>
  </si>
  <si>
    <t>Primer FT /A bucket 4.7kg</t>
  </si>
  <si>
    <t>POLYUREA</t>
  </si>
  <si>
    <t>Primer FT /B bottle 0.7kg (box of 8)</t>
  </si>
  <si>
    <t>WYK-HYDROHF</t>
  </si>
  <si>
    <t>Primer hydro hf jerrycan 5lt</t>
  </si>
  <si>
    <t>Primer P1 drum 50kg</t>
  </si>
  <si>
    <t>Primer P2 bucket 50kg</t>
  </si>
  <si>
    <t>Primer PU Fast /A bucket 4.5kg</t>
  </si>
  <si>
    <t>Primer PU Fast /B bucket 5.5kg</t>
  </si>
  <si>
    <t>Primer R30 bucket 10kg</t>
  </si>
  <si>
    <t>WYK-PPLUSSUMPCHAMB</t>
  </si>
  <si>
    <t>Pro plus sump chamber green with long neck 1pc</t>
  </si>
  <si>
    <t>WYK-PROPSUMPKIT6.8</t>
  </si>
  <si>
    <t>Pro plus sump kit (1x301. single outlet. alarm. ext neck)</t>
  </si>
  <si>
    <t>WYK-PPLUSSUMPKIT12.5</t>
  </si>
  <si>
    <t>Pro plus sump kit (1x303. single outlet. alarm. ext neck)</t>
  </si>
  <si>
    <t>WYK-PPSUMPTWINSO6.8</t>
  </si>
  <si>
    <t>Pro plus sump kit (2x301. single outlet. alarm. ext neck)</t>
  </si>
  <si>
    <t>WYK-PPSUMPTWINTO6.8</t>
  </si>
  <si>
    <t>Pro plus sump kit (2x301. twin outlet. alarm. ext neck) unit</t>
  </si>
  <si>
    <t>WYK-PPSUMPTWINSO12.5</t>
  </si>
  <si>
    <t>Pro plus sump kit (2x303. single outlet. alarm. ext neck)</t>
  </si>
  <si>
    <t>WYK-PPSUMPTWINTO12.5</t>
  </si>
  <si>
    <t>Pro plus sump kit (2x303. twin oultet. alarm. ext neck) unit</t>
  </si>
  <si>
    <t>WYK-PROSUMPCHAMBER</t>
  </si>
  <si>
    <t>Pro sump chamber (green chamber - no neck) 1pc</t>
  </si>
  <si>
    <t>WYK-PROSUMP12.5</t>
  </si>
  <si>
    <t>Pro sump kit 12.5 (1x303. single outlet. alarm) unit 19.25kg</t>
  </si>
  <si>
    <t>WYK-PSUMPTWINS/O12.5</t>
  </si>
  <si>
    <t>Pro sump kit 12.5 twin (2x303. single outlet. alarm) unit</t>
  </si>
  <si>
    <t>WYK-PSUMPTWINT/O12.5</t>
  </si>
  <si>
    <t>Pro sump kit 12.5twin (2x303-twin outlet-alarm) unit 27.51kg</t>
  </si>
  <si>
    <t>WYK-PROSUMP6.8</t>
  </si>
  <si>
    <t>Pro sump kit 6.8 (1 x 301. single outlet. alarm) 1pc</t>
  </si>
  <si>
    <t>WYK-PROSUMPTWINSO6.8</t>
  </si>
  <si>
    <t>Pro sump kit 6.8 (2 x 301. single outlet. alarm) 1pc</t>
  </si>
  <si>
    <t>WYK-PROSUMPTWINTO6.8</t>
  </si>
  <si>
    <t>Pro sump kit 6.8 twin (2 x 301. twin outlet. alarm) 1pc</t>
  </si>
  <si>
    <t>WYK-BLD2025</t>
  </si>
  <si>
    <t>Protimeter ble temperature &amp; moisture logger (1) 1pc</t>
  </si>
  <si>
    <t>WYK-BLD5775</t>
  </si>
  <si>
    <t>Protimeter mini moisture meter v.2 1pc</t>
  </si>
  <si>
    <t>WYK-BLD9800</t>
  </si>
  <si>
    <t>Protimeter mms3 1pc</t>
  </si>
  <si>
    <t>WYK-BLD5375</t>
  </si>
  <si>
    <t>Protimeter surveymaster 1pc</t>
  </si>
  <si>
    <t>Purgel jerrycan 5kg</t>
  </si>
  <si>
    <t>Purtop 100 bucket 14kg</t>
  </si>
  <si>
    <t>4UF1539179</t>
  </si>
  <si>
    <t>Purtop 1000 N /A Grey drum 225kg /214.29lt</t>
  </si>
  <si>
    <t>4UF999979</t>
  </si>
  <si>
    <t>Purtop 1000 N /B  drum 225kg /202.7lt</t>
  </si>
  <si>
    <t>Purtop 200 /A bucket 8kg</t>
  </si>
  <si>
    <t>Purtop 200 /B bucket 6kg</t>
  </si>
  <si>
    <t>Purtop 400 M /A drum 220kg</t>
  </si>
  <si>
    <t>Purtop 400 M /B drum 225kg</t>
  </si>
  <si>
    <t>Purtop ADY bucket 1.2lt (box of 6)</t>
  </si>
  <si>
    <t>4UD1539015</t>
  </si>
  <si>
    <t>Purtop Easy DW /A White bucket 12.2kg</t>
  </si>
  <si>
    <t>4UD999915</t>
  </si>
  <si>
    <t>Purtop Easy DW /B bucket 2.8kg</t>
  </si>
  <si>
    <t>4UE1539115</t>
  </si>
  <si>
    <t>Purtop Easy Grey bucket 15kg</t>
  </si>
  <si>
    <t>Purtop Primer Nero bucket 20kg</t>
  </si>
  <si>
    <t>WYK-QPEVO1.65X61</t>
  </si>
  <si>
    <t>Quadproof evolution 400 1.65mt x 61mt roll 100.65sm</t>
  </si>
  <si>
    <t>WYK-QPGASDPC1200X20</t>
  </si>
  <si>
    <t>Quadproof gas dpc 1200mm x 20m roll 24sm</t>
  </si>
  <si>
    <t>WYK-QPGASDPC600X20</t>
  </si>
  <si>
    <t>Quadproof gas dpc 600mm x 20m roll 12sm</t>
  </si>
  <si>
    <t>WYK-QPGASDPC900X20</t>
  </si>
  <si>
    <t>Quadproof gas dpc 900mm x 20m roll 18sm</t>
  </si>
  <si>
    <t>WYK-QPGAS4X20</t>
  </si>
  <si>
    <t>Quadproof gas membrane 4m x 20m roll 80sm</t>
  </si>
  <si>
    <t>WYK-QPTOPHAT110</t>
  </si>
  <si>
    <t>Quadproof top hat 110mm 1pc</t>
  </si>
  <si>
    <t>WYK-QPULTRAINTCORN90</t>
  </si>
  <si>
    <t>Quadproof ultra boxed corner 90deg 1pc</t>
  </si>
  <si>
    <t>WYK-QPULTRAED412X20</t>
  </si>
  <si>
    <t>Quadproof ultra edge strip 412mm x 20m roll 20mt</t>
  </si>
  <si>
    <t>WYK-QPULTRAEXTCORN90</t>
  </si>
  <si>
    <t>Quadproof ultra flanged corner 90deg 1pc</t>
  </si>
  <si>
    <t>WYK-QPULTRA1.65X30</t>
  </si>
  <si>
    <t>Quadproof ultra membrane 1.65m x 30m roll 49.5sm</t>
  </si>
  <si>
    <t>WYK-QPULTRATOPHAT110</t>
  </si>
  <si>
    <t>Quadproof ultra top hat 110mm 1pc</t>
  </si>
  <si>
    <t>WYK-SUMPFLOCVRREC</t>
  </si>
  <si>
    <t>Recessed access cover 450x450 1pc</t>
  </si>
  <si>
    <t>WYK-EPOXY-CS300</t>
  </si>
  <si>
    <t>Red crack seal epoxy resin filler crt 0.5kg (box of 1)</t>
  </si>
  <si>
    <t>WYK-RENDERPROOF200L</t>
  </si>
  <si>
    <t>Renderproof Additive drum 200lt /206kg</t>
  </si>
  <si>
    <t>WYK-RENDERPROOF25L</t>
  </si>
  <si>
    <t>Renderproof Additive jerrycan 25lt</t>
  </si>
  <si>
    <t>WYK-RENDERPROOF5L</t>
  </si>
  <si>
    <t>Renderproof Additive jerrycan 5lt</t>
  </si>
  <si>
    <t>WYK-RENPLA</t>
  </si>
  <si>
    <t>Renovation Plaster bag 20kg</t>
  </si>
  <si>
    <t>WYK-RENPLAPLAIN</t>
  </si>
  <si>
    <t>Renovation plaster plain bag 20kg</t>
  </si>
  <si>
    <t>Resfoam 1 KM Flex jerrycan 20kg /44.08lb</t>
  </si>
  <si>
    <t>Resfoam 1K-M ACC bottle 1kg (box of 12)</t>
  </si>
  <si>
    <t>Resfoam 1KM IT AKS bottle 1kg/2.204lb (box of 12)</t>
  </si>
  <si>
    <t>Resfoam 1KM IT jerrycan 20kg/44.08lb</t>
  </si>
  <si>
    <t>Resfoam 1KM IT jerrycan 5kg</t>
  </si>
  <si>
    <t>Resfoam 1K-M jerrycan 20kg</t>
  </si>
  <si>
    <t>WYK-THREXTN</t>
  </si>
  <si>
    <t>Resin extension nozzle 350mm 1pc</t>
  </si>
  <si>
    <t>WYK-THRGST</t>
  </si>
  <si>
    <t>Resin gun (single tube) 1pc</t>
  </si>
  <si>
    <t>WYK-THRGTT</t>
  </si>
  <si>
    <t>Resin gun (twin tube) 1pc</t>
  </si>
  <si>
    <t>WYK-THSTRNOZ</t>
  </si>
  <si>
    <t>Resin nozzle 1pc</t>
  </si>
  <si>
    <t>WYK-SUMPSEAL110</t>
  </si>
  <si>
    <t>Rubber seal for sump kit 110mm 1pc</t>
  </si>
  <si>
    <t>WYK-SUMPSEAL50</t>
  </si>
  <si>
    <t>Rubber seal for sump kit 50mm 1pc</t>
  </si>
  <si>
    <t>WYK-SUMPSEAL160</t>
  </si>
  <si>
    <t>Rubber wall seal 160mm 1pc</t>
  </si>
  <si>
    <t>WYK-GOGGLES</t>
  </si>
  <si>
    <t>Safety goggles 1pc</t>
  </si>
  <si>
    <t>WYK-SBR25L</t>
  </si>
  <si>
    <t>SBR Latex Bonding Agent jerrycan 25lt</t>
  </si>
  <si>
    <t>ADHESION IMPROVERS</t>
  </si>
  <si>
    <t>WYK-SBR5L</t>
  </si>
  <si>
    <t>SBR Latex Bonding Agent jerrycan 5lt (box of 4)</t>
  </si>
  <si>
    <t>WYK-DB10X300</t>
  </si>
  <si>
    <t>Sds drill bit 10 x 300 1pc</t>
  </si>
  <si>
    <t>WYK-DB10X310</t>
  </si>
  <si>
    <t>Sds drill bit 10 x 310 1pc</t>
  </si>
  <si>
    <t>WYK-DB11X300</t>
  </si>
  <si>
    <t>Sds drill bit 11 x 300 1pc</t>
  </si>
  <si>
    <t>WYK-DB13X160</t>
  </si>
  <si>
    <t>Sds drill bit 13 x 160 1pc</t>
  </si>
  <si>
    <t>WYK-DB6X160</t>
  </si>
  <si>
    <t>Sds drill bit 6 x 160 pc 1pc</t>
  </si>
  <si>
    <t>124801KITUK</t>
  </si>
  <si>
    <t>Shower Waterproofing kit</t>
  </si>
  <si>
    <t>124801KITUKCD</t>
  </si>
  <si>
    <t>124801KITSFX</t>
  </si>
  <si>
    <t>Shower Waterproofing S/FIX kit</t>
  </si>
  <si>
    <t>124801KITTS</t>
  </si>
  <si>
    <t>Shower Waterproofing TS kit</t>
  </si>
  <si>
    <t>WYK-SIKA20MM2X20</t>
  </si>
  <si>
    <t>Sika 20mm 2 x 20 hd drainage membrane roll 40sm</t>
  </si>
  <si>
    <t>WYK-SIKA8MM2X20</t>
  </si>
  <si>
    <t>Sika 8mm 2 x 20 standard drainage membrane roll 40sm</t>
  </si>
  <si>
    <t>WYK-SIKA8MMMESH2X20</t>
  </si>
  <si>
    <t>Sika 8mm meshed membrane 2 x 20 roll 40sm</t>
  </si>
  <si>
    <t>WYK-SIKANTI-LIME</t>
  </si>
  <si>
    <t>Sika anti-lime coating jerrycan 25kg</t>
  </si>
  <si>
    <t>WYK-SIKABRICK100</t>
  </si>
  <si>
    <t>Sika brick plugs 100 bag 1pc</t>
  </si>
  <si>
    <t>WYK-SIKABRICKSEAL200</t>
  </si>
  <si>
    <t>Sika brick plugs and seals 200 bag 1pc</t>
  </si>
  <si>
    <t>WYK-SIKACORNTAPE-2</t>
  </si>
  <si>
    <t>Sika corner tape (box of 2)</t>
  </si>
  <si>
    <t>WYK-SIKAOVERTAPE</t>
  </si>
  <si>
    <t>Sika overseal tape roll 20mt</t>
  </si>
  <si>
    <t>WYK-SIKAROPE</t>
  </si>
  <si>
    <t>Sika rope roll 5mt</t>
  </si>
  <si>
    <t>WYK-SIKATAPE</t>
  </si>
  <si>
    <t>Sika tape 28mm roll 22mt</t>
  </si>
  <si>
    <t>Silicajet EXP/4 /A jerrycan 24kg /52.896lb</t>
  </si>
  <si>
    <t>Silicajet EXP/4 /B jerrycan 20kg /44.08lb</t>
  </si>
  <si>
    <t>WYK-TWMIX</t>
  </si>
  <si>
    <t>Small mixing paddle 1pc</t>
  </si>
  <si>
    <t>WYK-DRYSEALSS3</t>
  </si>
  <si>
    <t>Smartseal dryseal bucket 3lt</t>
  </si>
  <si>
    <t>WYK-DRYSEALSS5</t>
  </si>
  <si>
    <t>Smartseal dryseal bucket 5lt</t>
  </si>
  <si>
    <t>WYK-S80501082</t>
  </si>
  <si>
    <t>Solseal liquid gas barrier bucket 15kg</t>
  </si>
  <si>
    <t>WYK-S80501165</t>
  </si>
  <si>
    <t>Soltank flex bucket 20kg</t>
  </si>
  <si>
    <t>WYK-S80501150</t>
  </si>
  <si>
    <t>Soltank plus - tubs bucket 20kg</t>
  </si>
  <si>
    <t>WYK-SPONGE</t>
  </si>
  <si>
    <t>Sponge (sp41) 1pc</t>
  </si>
  <si>
    <t>WYK-VENTHOME</t>
  </si>
  <si>
    <t>Square home dry vent 1pc</t>
  </si>
  <si>
    <t>WYK-THCSGPN</t>
  </si>
  <si>
    <t>Stitch gun pointing noz (metal) 1pc</t>
  </si>
  <si>
    <t>WYK-SUMPALARM</t>
  </si>
  <si>
    <t>Sump alarm only 1pc</t>
  </si>
  <si>
    <t>WYK-SUMPALARMPLUS</t>
  </si>
  <si>
    <t>Sump alarm with float switch (10m) 1pc</t>
  </si>
  <si>
    <t>WYK-SUMPBLACK301</t>
  </si>
  <si>
    <t>Sump black 301 with lid (1x301. single outlet. alarm) 1pc</t>
  </si>
  <si>
    <t>WYK-SUMPBLACKTWIN250</t>
  </si>
  <si>
    <t>Sump black twin kp250 (2xkp250. single outlet. alarm) 1pc</t>
  </si>
  <si>
    <t>WYK-SUMPPK</t>
  </si>
  <si>
    <t>Sump pipework kit (kit a) 1pc</t>
  </si>
  <si>
    <t>WYK-PUMPAWAYKIT</t>
  </si>
  <si>
    <t>Sump pump kit single outlet. cover &amp; alarm (pre-built) 1pc</t>
  </si>
  <si>
    <t>WYK-SUMPFLOCVRLOCK</t>
  </si>
  <si>
    <t>Sumpflo cover 450 x 450 with lockable lid 1pc</t>
  </si>
  <si>
    <t>WYK-SUMPFLOCVR</t>
  </si>
  <si>
    <t>Sumpflo metal cover/lid 450mm x 450mm 1pc</t>
  </si>
  <si>
    <t>WYK-2271T</t>
  </si>
  <si>
    <t>Sumpflush tank c/w cover &amp; bracket 1pc</t>
  </si>
  <si>
    <t>WYK-SUREPRIMEULTRA</t>
  </si>
  <si>
    <t>Sureprime ultra primer bucket 5lt</t>
  </si>
  <si>
    <t>WYK-SUREPULTRA1X20</t>
  </si>
  <si>
    <t>Sureproof ultra membrane printbox 1m x 20m roll 20sm</t>
  </si>
  <si>
    <t>WYK-SUREPROOF</t>
  </si>
  <si>
    <t>Sureproof Waterproofing Membrane 1050mm roll 20sm</t>
  </si>
  <si>
    <t>WYK-SURETAPE</t>
  </si>
  <si>
    <t>Suretape 300mmx20mt sureproof membrane roll 20mt (box of 3)</t>
  </si>
  <si>
    <t>WYK-NMDTANK20</t>
  </si>
  <si>
    <t>Tanking slurry bag 20kg</t>
  </si>
  <si>
    <t>WYK-NMDTANKBUCK20</t>
  </si>
  <si>
    <t>Tanking slurry bucket 20kg</t>
  </si>
  <si>
    <t>WYK-VF12010</t>
  </si>
  <si>
    <t>Tape vf 120 10mtrs x 120mm roll 10mt</t>
  </si>
  <si>
    <t>WYK-TECSEAL</t>
  </si>
  <si>
    <t>Technoseal dpm black bucket 5kg</t>
  </si>
  <si>
    <t>WYK-TECHSEWT5</t>
  </si>
  <si>
    <t>Technoseal dpm white bucket 5kg</t>
  </si>
  <si>
    <t>WYK-REMCON</t>
  </si>
  <si>
    <t>The remcon 1pc</t>
  </si>
  <si>
    <t>WYK-THERM-A-WALL5LTR</t>
  </si>
  <si>
    <t>Therm - a - wall bucket 5lt</t>
  </si>
  <si>
    <t>WYK-THORFB</t>
  </si>
  <si>
    <t>Thor /B bucket 5lt</t>
  </si>
  <si>
    <t>WYK-THORDBONDSL</t>
  </si>
  <si>
    <t>Thor debond sleeve 1pc</t>
  </si>
  <si>
    <t>WYK-THEA380</t>
  </si>
  <si>
    <t>Thor epoxy acrylate resin crt 400ml (box of 12)</t>
  </si>
  <si>
    <t>WYK-THER400</t>
  </si>
  <si>
    <t>Thor epoxy resin crt 400ml (box of 20)</t>
  </si>
  <si>
    <t>WYK-CDT-180-50</t>
  </si>
  <si>
    <t>Thor helical cd tie 180mm bag 50pc (box of 1000)</t>
  </si>
  <si>
    <t>WYK-CDT-205-50</t>
  </si>
  <si>
    <t>Thor helical cd tie 205mm bag 50pc (box of 1000)</t>
  </si>
  <si>
    <t>WYK-CDT-230-50</t>
  </si>
  <si>
    <t>Thor helical cd tie 230mm bag 50pc (box of 1000)</t>
  </si>
  <si>
    <t>WYK-CDT-255-50</t>
  </si>
  <si>
    <t>Thor helical cd tie 255mm bag 50pc (box of 1000)</t>
  </si>
  <si>
    <t>WYK-CDT-280-50</t>
  </si>
  <si>
    <t>Thor helical cd tie 280mm bag 50pc (box of 1000)</t>
  </si>
  <si>
    <t>WYK-CDT-305-50</t>
  </si>
  <si>
    <t>Thor helical cd tie 305mm bag 50pc (box of 1000)</t>
  </si>
  <si>
    <t>WYK-CDT-330-50</t>
  </si>
  <si>
    <t>Thor helical cd tie 330mm bag 50pc (box of 1000)</t>
  </si>
  <si>
    <t>WYK-CDT-355-50</t>
  </si>
  <si>
    <t>Thor helical cd tie 355mm bag 50pc (box of 1000)</t>
  </si>
  <si>
    <t>WYK-CDT-400-50</t>
  </si>
  <si>
    <t>Thor helical cd tie 9mmx400mm bag 50pc (box of 1000)</t>
  </si>
  <si>
    <t>WYK-THW60</t>
  </si>
  <si>
    <t>Thor w 60 flexi grout 3ltr (grey) unit 6.5kg</t>
  </si>
  <si>
    <t>WYK-TRISEAL5GREY</t>
  </si>
  <si>
    <t>Triseal grey unit 5kg</t>
  </si>
  <si>
    <t>EPOXY BASED COATINGS</t>
  </si>
  <si>
    <t>WYK-CEMFLEXOMEGCLIP1</t>
  </si>
  <si>
    <t>Triton cemflex omega clips (per clip) 1pc</t>
  </si>
  <si>
    <t>WYK-CFLEXOVERLCLIP1</t>
  </si>
  <si>
    <t>Triton cemflex overlap clips (per clip) 1pc</t>
  </si>
  <si>
    <t>WYK-CEMFLEXVB2MX100M</t>
  </si>
  <si>
    <t>Triton cemflex vb waterstop 100mm wide with clips roll 2mt</t>
  </si>
  <si>
    <t>WYK-SEALPLUG22MM100</t>
  </si>
  <si>
    <t>Triton sealing plugs 22mm bag 100 pc</t>
  </si>
  <si>
    <t>WYK-SEALSP110/125-5</t>
  </si>
  <si>
    <t>Triton sealing strap 110-125mm bag 0.4kg</t>
  </si>
  <si>
    <t>WYK-SEALUFO24MM-100</t>
  </si>
  <si>
    <t>Triton sealing ufo 24mm bag 100 pc</t>
  </si>
  <si>
    <t>WYK-TTSUPERADMIX4.1</t>
  </si>
  <si>
    <t>Tt admix bag 4.1kg (bucket of 6)</t>
  </si>
  <si>
    <t>WYK-TTSWELLMAST600CC</t>
  </si>
  <si>
    <t>Tt swell mastic s2 sausage 600ml (box of 10)</t>
  </si>
  <si>
    <t>sausage</t>
  </si>
  <si>
    <t>WYK-TTWATER5M</t>
  </si>
  <si>
    <t>Tt waterstop (25mm x 20mm) roll 5mt (box of 6)</t>
  </si>
  <si>
    <t>WYK-ULTRA1GNKIT</t>
  </si>
  <si>
    <t>Ultracure 1 litre gun and nozzle kit unit 1.56kg</t>
  </si>
  <si>
    <t>WYK-DRYGUN</t>
  </si>
  <si>
    <t>Ultracure 1ltr crt gun 1pc</t>
  </si>
  <si>
    <t>WYK-DRYTNOZ</t>
  </si>
  <si>
    <t>Ultracure 1ltr nozzle 1pc</t>
  </si>
  <si>
    <t>WYK-ULTRAGUNF</t>
  </si>
  <si>
    <t>Ultracure 600ml foil gun 1pc</t>
  </si>
  <si>
    <t>WYK-ULTRANOZF</t>
  </si>
  <si>
    <t>Ultracure 600ml foil nozzle 1pc</t>
  </si>
  <si>
    <t>WYK-ULTRAGUNNOZF</t>
  </si>
  <si>
    <t>Ultracure 600ml gun &amp; nozzle kit unit 2kg</t>
  </si>
  <si>
    <t>WYK-DRYTECHAP</t>
  </si>
  <si>
    <t>Ultracure applicator (tango) 1pc</t>
  </si>
  <si>
    <t>WYK-ULTRA8BOX</t>
  </si>
  <si>
    <t>Ultracure bag 8lt (box of 1)</t>
  </si>
  <si>
    <t>WYK-ULTRA5EX</t>
  </si>
  <si>
    <t>Ultracure bucket 5lt</t>
  </si>
  <si>
    <t>WYK-ULTRA1</t>
  </si>
  <si>
    <t>Ultracure crt 1lt (box of 8)</t>
  </si>
  <si>
    <t>WYK-ULTRA400</t>
  </si>
  <si>
    <t>Ultracure crt 380ml (box of 14)</t>
  </si>
  <si>
    <t>WYK-ULTRA600</t>
  </si>
  <si>
    <t>Ultracure foil sausage 600ml (box of 20)</t>
  </si>
  <si>
    <t>WYK-ULTRA1MKIT</t>
  </si>
  <si>
    <t>Ultracure kit (8 x 1ltrs)  unit 10.5kg</t>
  </si>
  <si>
    <t>WYK-ULTRA380MKIT</t>
  </si>
  <si>
    <t>Ultracure kit 380mm  unit 5kg</t>
  </si>
  <si>
    <t>WYK-UCO</t>
  </si>
  <si>
    <t>Universal channel outlet 1pc</t>
  </si>
  <si>
    <t>UTT End box Multi 11-19 10 1pc (box of 10)</t>
  </si>
  <si>
    <t>UTT End box Multi 13 F 1pc (box of 10)</t>
  </si>
  <si>
    <t>UTT Hot Shrinking Hose for Idrostop Multi 19 rol.30m/98.43ft</t>
  </si>
  <si>
    <t>UTT Idrostop Multi 11 roll 100mt /328.1ft</t>
  </si>
  <si>
    <t>UTT Idrostop Multi 11 System 1box</t>
  </si>
  <si>
    <t>UTT Idrostop Multi 19 roll 100mt /328.1ft</t>
  </si>
  <si>
    <t>UTT Idrostop Multi 19 System 1box</t>
  </si>
  <si>
    <t>UTT Injection Tube 5.7-8 roll 50mt /164.05ft</t>
  </si>
  <si>
    <t>UTT Mapeplan Tape PVC H.220mm Tick.1.6mm roll 30m/98.43ft</t>
  </si>
  <si>
    <t>UTT Mapeplan Tape PVC H.350mm Tick.1.6mm roll 20mt/65.62ft</t>
  </si>
  <si>
    <t>UTT Plastic Clip for Idrostop Multi 11 bag 100pc</t>
  </si>
  <si>
    <t>UTT Plastic clip for Idrostop Multi 19 bag 100pc</t>
  </si>
  <si>
    <t>UTT Plastic Connector for Idrostop Multi 11 bag 100pc</t>
  </si>
  <si>
    <t>UTT Plastic connector for Idrostop Multi 19 bag 100pc</t>
  </si>
  <si>
    <t>UTT Quick fitting connector 8-10mm  box 10pc/bag</t>
  </si>
  <si>
    <t>UTT Red Ventilation Hose for Idrostop Multi 11 roll 50mt</t>
  </si>
  <si>
    <t>UTT Sealing Plug Yellow for Idrostop Multi 11 bag 50pc</t>
  </si>
  <si>
    <t>UTT Sealing Plug Yellow for Idrostop Multi 19 bag 50pc</t>
  </si>
  <si>
    <t>UTT Shrinking Hose for Idrostop Multi 11 roll 50mt/164.05ft</t>
  </si>
  <si>
    <t>UTT Transp.Ventilation Hose for IdrosMulti19 roll 50mt/164ft</t>
  </si>
  <si>
    <t>UTT Transpar.Ventilat.Hose for Idrost.Multi 11 roll 50mt</t>
  </si>
  <si>
    <t>WYK-VANDEXBB7525KG</t>
  </si>
  <si>
    <t>Vandex bb75 bag 25kg</t>
  </si>
  <si>
    <t>WYK-TTVAPLGM125</t>
  </si>
  <si>
    <t>Visqueen liquid gas membrane (bpi only) bucket 12.5lt</t>
  </si>
  <si>
    <t>WYK-THTLTU</t>
  </si>
  <si>
    <t>Wall tie load test unit 1pc</t>
  </si>
  <si>
    <t>WYK-WARMCOAT5LT</t>
  </si>
  <si>
    <t>Warm coat (igoe) bucket 5lt</t>
  </si>
  <si>
    <t>WYK-WGJETEXT</t>
  </si>
  <si>
    <t>Water guard jetting eye with 200mm flexi extension 1pc</t>
  </si>
  <si>
    <t>WYK-WGCHANNEL200</t>
  </si>
  <si>
    <t>Waterguard channel 200mm 1pc</t>
  </si>
  <si>
    <t>WYK-WGCHANNEL</t>
  </si>
  <si>
    <t>Waterguard channel 2mtrs 1pc</t>
  </si>
  <si>
    <t>WYK-WGCONNECTOR</t>
  </si>
  <si>
    <t>Waterguard channel connector 1pc</t>
  </si>
  <si>
    <t>WYK-WGJETEYE</t>
  </si>
  <si>
    <t>Waterguard jetting eye 1pc</t>
  </si>
  <si>
    <t>WYK-WGOUTLET</t>
  </si>
  <si>
    <t>Waterguard outlet 50mm 1pc</t>
  </si>
  <si>
    <t>WYK-WGSTOPEND</t>
  </si>
  <si>
    <t>Waterguard stop end 1pc</t>
  </si>
  <si>
    <t>7953040SFX</t>
  </si>
  <si>
    <t>Waterproof Jointing Tape S/FIX roll 5mt (box of 8)</t>
  </si>
  <si>
    <t>WYK-WPFLOW25</t>
  </si>
  <si>
    <t>Wp flow bag 25kg</t>
  </si>
  <si>
    <t>WYK-SWEPTTE92.5/40MM</t>
  </si>
  <si>
    <t>Ws22b 40 x 92.5d angle swept tee 1pc</t>
  </si>
  <si>
    <t>WYK-BASE8ACCPK</t>
  </si>
  <si>
    <t>Wykamol baseline 8 accessory pack unit 0.5kg</t>
  </si>
  <si>
    <t>MARKETING PRODUCTS</t>
  </si>
  <si>
    <t>P01</t>
  </si>
  <si>
    <t>CLOTHING AND PROMOTIONAL ITEMS</t>
  </si>
  <si>
    <t>WYK-WYKBENSEALLM</t>
  </si>
  <si>
    <t>Wykamol bento seal LM  bucket 15kg</t>
  </si>
  <si>
    <t>WYK-WYKBENLM</t>
  </si>
  <si>
    <t>Wykamol bentonite LM H 1.1mt roll 5mt</t>
  </si>
  <si>
    <t>WYK-WYKBSEAL100</t>
  </si>
  <si>
    <t>Wykamol brick seal only (100) bag 100 pc</t>
  </si>
  <si>
    <t>WYK-WCORNER</t>
  </si>
  <si>
    <t>Wykamol corner 1pc</t>
  </si>
  <si>
    <t>WYK-WYKCSTRIP20-2</t>
  </si>
  <si>
    <t>Wykamol corner strip roll 20m (box of 2)</t>
  </si>
  <si>
    <t>WYK-THCRACKPAC</t>
  </si>
  <si>
    <t>Wykamol crackstitching kit unit 9kg</t>
  </si>
  <si>
    <t>WYK-WYKCURE9025</t>
  </si>
  <si>
    <t>Wykamol cure 90 jerrycan 25lt</t>
  </si>
  <si>
    <t>WYK-WYKFIBRE</t>
  </si>
  <si>
    <t>Wykamol fibre tape 1mm x 115mm roll 25mt</t>
  </si>
  <si>
    <t>WYK-WYKFIBRE5M</t>
  </si>
  <si>
    <t>Wykamol fibre tape 1mm x 75mm roll 5mt</t>
  </si>
  <si>
    <t>WYK-WYKGASTAPE50</t>
  </si>
  <si>
    <t>Wykamol gas tape 1mm x 50mm x 40mts roll 40mt</t>
  </si>
  <si>
    <t>WYK-SUREPROOFDSX</t>
  </si>
  <si>
    <t>Wykamol GR Foil (1x25mt) roll 25sm</t>
  </si>
  <si>
    <t>VAPOUR AND RADON BARRIER BITUMEN BASED MEMBRANES</t>
  </si>
  <si>
    <t>WYK-WHLINSBOARDP8</t>
  </si>
  <si>
    <t>Wykamol High Load Insulation board 5.54sm (multipack of 8)</t>
  </si>
  <si>
    <t>board</t>
  </si>
  <si>
    <t>WYK-WYKLGM15RED</t>
  </si>
  <si>
    <t>Wykamol liquid gas membrane red bucket 15kg</t>
  </si>
  <si>
    <t>WYK-MCSKITBOX</t>
  </si>
  <si>
    <t>Wykamol mould eradication kit unit 1.16kg</t>
  </si>
  <si>
    <t>WYK-WYKOVER</t>
  </si>
  <si>
    <t>Wykamol overseal tape (75x2mm) roll 22.5mt</t>
  </si>
  <si>
    <t>WYK-WYKPSEAL100</t>
  </si>
  <si>
    <t>Wykamol plaster seal only bag 100pc</t>
  </si>
  <si>
    <t>WYK-PUMPONLY4</t>
  </si>
  <si>
    <t>Wykamol pump 12.5 1pc</t>
  </si>
  <si>
    <t>WYK-PUMPONLY3</t>
  </si>
  <si>
    <t>Wykamol pump 6.8 1pc</t>
  </si>
  <si>
    <t>WYK-WYKROPE</t>
  </si>
  <si>
    <t>Wykamol rope 10mm x 5m roll 5mt</t>
  </si>
  <si>
    <t>WYK-SNEUT</t>
  </si>
  <si>
    <t>Wykamol salt neutraliser jerrycan 5lt</t>
  </si>
  <si>
    <t>WYK-WYKCAGE</t>
  </si>
  <si>
    <t>Wykamol steel cage 1mtr 1pc</t>
  </si>
  <si>
    <t>WYK-WYKSU.SEALTAPE20</t>
  </si>
  <si>
    <t>Wykamol superseal tape 1.5mmx150mm roll 20mt (box of 2)</t>
  </si>
  <si>
    <t>WYK-WTPCE</t>
  </si>
  <si>
    <t>Wykamol t piece 1pc</t>
  </si>
  <si>
    <t>WYK-WYKTAPE</t>
  </si>
  <si>
    <t>Wykamol tape 28mmx2mmx22.5m roll 22.5mt</t>
  </si>
  <si>
    <t>WYK-WYKTERMSTRIP</t>
  </si>
  <si>
    <t>Wykamol termination strip 20mmx1mm roll 10mt (box of 10)</t>
  </si>
  <si>
    <t>WYK-UPS2000</t>
  </si>
  <si>
    <t>Wykamol ups 2000 battery back up 1pc</t>
  </si>
  <si>
    <t>WYK-UPS3000</t>
  </si>
  <si>
    <t>Wykamol ups 3000 battery back up 1pc</t>
  </si>
  <si>
    <t>WYK-WYKWSB5</t>
  </si>
  <si>
    <t>Wykamol water bar (20mm x 25mm) roll 5mt (box of 6)</t>
  </si>
  <si>
    <t>2025 PRICEVALUE</t>
  </si>
  <si>
    <t>EURO</t>
  </si>
  <si>
    <t>system rate is £285.51</t>
  </si>
  <si>
    <t>EURO LIST PRICE 2026</t>
  </si>
  <si>
    <t>1 LITRE PLASTIC NOZZLE 1PC</t>
  </si>
  <si>
    <t>1/4" SWING CHECK NON RETURN VALVE (BRASS) 1PC</t>
  </si>
  <si>
    <t>10 X 160 SDS+ DRILL BITS 1PC</t>
  </si>
  <si>
    <t>11 X 160 SDS+ DRILL BITS 1PC</t>
  </si>
  <si>
    <t>11 X 310 SDS+ DRILL BITS 1PC</t>
  </si>
  <si>
    <t>110MM COB PLUGS BAG 250PC</t>
  </si>
  <si>
    <t>12 X 160 SDS+ DRILL BITS 1PC</t>
  </si>
  <si>
    <t>12 X 250 SDS+ DRILL BITS 1PC</t>
  </si>
  <si>
    <t>12 X 300 SDS+ DRILL BITS 1PC</t>
  </si>
  <si>
    <t>12MM DRIVE PIN SETTING TOOL 1PC (BOX OF 1000)</t>
  </si>
  <si>
    <t>12MM INJECTION PLUG-GREY BAG 100 PC (BOX OF 1000)</t>
  </si>
  <si>
    <t>12MM INJECTION PLUG-RUSTIC (BRICK RED) BAG 100PC (BOX OF 10)</t>
  </si>
  <si>
    <t>12MM INJECTION PLUG-STONE BAG 100 PC (BOX OF 1000)</t>
  </si>
  <si>
    <t>12MM X 610MM HELICAL DRIVE PINS BAG 10PC (BOX OF 1000)</t>
  </si>
  <si>
    <t>12MM X 760MM HELICAL DRIVE PINS BAG 10PC (BOX OF 1000)</t>
  </si>
  <si>
    <t>12MM X 910MM HELICAL DRIVE PINS BAG 10PC (BOX OF 1000)</t>
  </si>
  <si>
    <t>130MM COB PLUG BAG 250PC</t>
  </si>
  <si>
    <t>14 X 450 SDS+ DRILL BITS 1PC</t>
  </si>
  <si>
    <t>150MM COB PLUG BAG 250PC</t>
  </si>
  <si>
    <t>180MM COB PLUGS BAG 250PC</t>
  </si>
  <si>
    <t>3.5LTR APPLICATOR 1PC</t>
  </si>
  <si>
    <t>400CC ULTRACURE CRT GUN 1PC</t>
  </si>
  <si>
    <t>4MM RED SLEEVING 1PC</t>
  </si>
  <si>
    <t>6 X 360 SDS+ DRILL BITS 1PC</t>
  </si>
  <si>
    <t>6 X 450 SDS+ DRILL BITS 1PC</t>
  </si>
  <si>
    <t>6MMX1000MM HELIFORCE CRACK STITCHING BAR 1PC</t>
  </si>
  <si>
    <t>6MMX2000MM HELIFORCE CRACK STITCHING BAR 1PC</t>
  </si>
  <si>
    <t>6MMX7000MM HELIFORCE CRACK STITCHING BAR 1PC(MULTIPACK OF 5)</t>
  </si>
  <si>
    <t>7 X 160 SDS+ DRILL BITS 1PC</t>
  </si>
  <si>
    <t>7 X 510 SDS+ DRILL BITS 1PC</t>
  </si>
  <si>
    <t>70MM COB PLUGS BAG 250PC</t>
  </si>
  <si>
    <t>7MM X 310MM SDS+ DRILL BIT 1PC</t>
  </si>
  <si>
    <t>7MMX1200MM HELIFORCE CRACK STITCHING BAR 1PC</t>
  </si>
  <si>
    <t>7MMX1500MM HELIFORCE CRACK STITCHING BAR 1PC</t>
  </si>
  <si>
    <t>8 X 160 SDS+ DRILL BITS PC 1PC</t>
  </si>
  <si>
    <t>8MMX1000MM HELIFORCE HD CRACK STITCHING BAR 1PC</t>
  </si>
  <si>
    <t>8MMX7000MM HELIFORCE HD CRACK STITCHING BAR 1PC(MULTIP.OF 5)</t>
  </si>
  <si>
    <t>90MM COB PLUGS BAG 250PC</t>
  </si>
  <si>
    <t>9MM HELICAL PULL TEST ADAPTOR 1PC</t>
  </si>
  <si>
    <t>ADDITIX P BUCKET 0.9KG (BOX OF 6)</t>
  </si>
  <si>
    <t>ALERTMAXX 2 - EC GROUND WATER WIFI HIGH LEVEL ALARM 1PC</t>
  </si>
  <si>
    <t>ALL DAMP RENDER ADDITIVE JERRYCAN 5LT (BOX OF 4)</t>
  </si>
  <si>
    <t>ALLDAMP DPC CREAM (ALLERTON) CRT 1LT (BOX OF 8)</t>
  </si>
  <si>
    <t>ALLERTON DAMP BRICK PLUG WITH SEAL BAG 100 PC</t>
  </si>
  <si>
    <t>ALLERTON DAMP PLASTER PLUG WITH SEAL BAG 100 PC</t>
  </si>
  <si>
    <t>ANTI-LIME SEALER CONCENTRATE JERRYCAN 2LT (BOX OF 6)</t>
  </si>
  <si>
    <t>AQUAFLEX S 1K BUCKET 15KG</t>
  </si>
  <si>
    <t>AQUAFLEX S 1K BUCKET 5KG</t>
  </si>
  <si>
    <t>AQUAPUMP XL (EA31) AUTO 1PC</t>
  </si>
  <si>
    <t>AQUAPUMP XL DUAL (EA31) AUTO SINGLE OUTLET 1PC</t>
  </si>
  <si>
    <t>AQUASAFE ALARM 1PC</t>
  </si>
  <si>
    <t>AQUASAFE ALARM FOR FOUL SUMPS/PUMPS 1PC</t>
  </si>
  <si>
    <t>BATTERY BACK UP SYSTEM 1PC</t>
  </si>
  <si>
    <t>BATTERY BACKUP PIPEWORK KIT SINGLE (KIT D) 1PC</t>
  </si>
  <si>
    <t>BATTERY BACKUP PIPEWORK KIT TWIN (KIT E) 1PC</t>
  </si>
  <si>
    <t>BATTERY BACKUP PIPEWORK KIT TWIN + TWIN (KIT F) 1PC</t>
  </si>
  <si>
    <t>BENTO GRANULES LM BAG 25KG</t>
  </si>
  <si>
    <t>BETOCRETE CL210 JERRYCAN 25LT</t>
  </si>
  <si>
    <t>BLACK LID WITH SEAL KIT FOR THE BLACK SUMP 1PC</t>
  </si>
  <si>
    <t>BLACK SUMP CHAMBER 1PC</t>
  </si>
  <si>
    <t>BLANK DAMP PROOF CRT 380ML (BOX OF 10)</t>
  </si>
  <si>
    <t>BLOCK BRUSH 1PC</t>
  </si>
  <si>
    <t>BPI TTADMIX BAG 4.1KG (BUCKET OF 6)</t>
  </si>
  <si>
    <t>CD TIE 12MM X 1220MM BAG 10PC (BOX OF 1000)</t>
  </si>
  <si>
    <t>CD TIE DRIVING ADAPTOR 1PC (BOX OF 1000)</t>
  </si>
  <si>
    <t>CD TIES 9MM X 450MM BAG 50PC (BOX OF 1000)</t>
  </si>
  <si>
    <t>CEM 805 ACTIVE SWELLABLE MASTIC CRT 310ML</t>
  </si>
  <si>
    <t>CM BRICK PLUG 100 (60MM NO SEALS) (BLACK) BAG 1KG</t>
  </si>
  <si>
    <t>CM BRICK PLUG WITH SEAL 100 (60MM) (BLACK) BAG 0.7KG</t>
  </si>
  <si>
    <t>CM PLASTER PLUG 100 (60MM NO SEALS) BAG 0.8KG</t>
  </si>
  <si>
    <t>CM PLASTER PLUG WITH SEAL 100 (60MM) BAG 0.8KG</t>
  </si>
  <si>
    <t>CM20 CAVITY DRAIN MEMBRANE BLACK 2MX10M ROLL 20SM</t>
  </si>
  <si>
    <t>CM20 CAVITY DRAIN MEMBRANE BLACK 2MX20M ROLL 40SM</t>
  </si>
  <si>
    <t>CM20 CAVITY DRAIN MEMBRANE YELLOW 2MX20M ROLL 40SM</t>
  </si>
  <si>
    <t>CM20 GEOTEXTILE MEMBRANE ROLL 20SM</t>
  </si>
  <si>
    <t>CM3 CAVITY DRAIN MEMBRANE CLEAR 2X20MT ROLL 40SM</t>
  </si>
  <si>
    <t>CM3 CAVITY DRAIN MESH MEMBRANE 1.2MX10M ROLL 12SM</t>
  </si>
  <si>
    <t>CM3 CAVITY DRAIN MESH MEMBRANE 1.2MX20M ROLL 24SM</t>
  </si>
  <si>
    <t>CM3 CAVITY DRAIN MESH MEMBRANE 1MX10M ROLL 10SM</t>
  </si>
  <si>
    <t>CM3 CAVITY DRAIN MESH MEMBRANE 1MX20M ROLL 20SM</t>
  </si>
  <si>
    <t>CM3 CAVITY DRAIN MESH MEMBRANE 2MX20M ROLL 40SM</t>
  </si>
  <si>
    <t>CM8  CAVITY DRAIN MESH MEMBRANE 1MX20M ROLL 20SM</t>
  </si>
  <si>
    <t>CM8  CAVITY DRAIN MESH MEMBRANE 2MX10M ROLL 20SM</t>
  </si>
  <si>
    <t>CM8  CAVITY DRAIN MESH MEMBRANE 2MX20M ROLL 40SM</t>
  </si>
  <si>
    <t>CM8 CAVITY DRAIN MEMBRANE 2.4MX20M ROLL 48SM</t>
  </si>
  <si>
    <t>CM8 CAVITY DRAIN MEMBRANE 2MX20M ROLL 40SM</t>
  </si>
  <si>
    <t>CM8 GEOTEXTILE MEMBRANE 2MX20M ROLL 40SM</t>
  </si>
  <si>
    <t>CM8 HEAVY DUTY CAVITY DRAIN MEMBRANE 2.4MX20M ROLL 48SM</t>
  </si>
  <si>
    <t>CM8 HEAVY DUTY CAVITY DRAIN MEMBRANE 2MX20M ROLL 40SM</t>
  </si>
  <si>
    <t>CONDENSATION STRIP 250MM X 20M ROLL 20MT</t>
  </si>
  <si>
    <t>CORE HOME DRY VENT 1PC</t>
  </si>
  <si>
    <t>CRACK STITCH GUN 1PC</t>
  </si>
  <si>
    <t>CRACK STITCH WHO 60 GROUT (YELLOW) BUCKET 3LT</t>
  </si>
  <si>
    <t>CRIMP CONNECTORS 1PC (BAG OF 10)</t>
  </si>
  <si>
    <t>CRT NOZZLE 400 1PC</t>
  </si>
  <si>
    <t>CRT SET COMPLETE UNIT 0.6KG</t>
  </si>
  <si>
    <t>DAMPFLEX ADHESIVE GREY BAG 20KG</t>
  </si>
  <si>
    <t>DAMPFLEX WATERPROOF MEMBRANE 1.2M X 15M ROLL 18SM</t>
  </si>
  <si>
    <t>DAMPROOFING POWER UNITS 1PC</t>
  </si>
  <si>
    <t>DAMPSOLVE CRT 1LT (BOX OF 8)</t>
  </si>
  <si>
    <t>DAMPSOLVE CRT 380ML (BOX OF 14)</t>
  </si>
  <si>
    <t>DAMPSOLVE DPC CREAM BUCKET 5LT</t>
  </si>
  <si>
    <t>DAMPSOLVE DPC CREAM BUCKET 8LT (BOX OF 1)</t>
  </si>
  <si>
    <t>DAMPSTOP MEMBRANE KIT 1 X 10M UNIT 5KG</t>
  </si>
  <si>
    <t>DAMPSTORE TANKING SLURRY BUCKET 20KG</t>
  </si>
  <si>
    <t>DAMPSTORE ULTRACURE CRT 380ML (BOX OF 14)</t>
  </si>
  <si>
    <t>DOUBLE SUMP PIPEWORK KIT SINGLE OUTLET (KIT B) 1PC</t>
  </si>
  <si>
    <t>DOUBLE SUMP PIPEWORK KIT TWIN OUTLET (KIT C) 1PC</t>
  </si>
  <si>
    <t>DRAINFLO ECO KIT 230V AC AUTOMATIC SUB PUMP&amp;GREEN CHAMBER PC</t>
  </si>
  <si>
    <t>DRYMESH ACCESSORY PACK UNIT 3.74KG</t>
  </si>
  <si>
    <t>DRYSEAL BUCKET 3LT</t>
  </si>
  <si>
    <t>DRYSEAL IBC 1000LT /827KG</t>
  </si>
  <si>
    <t>DRYSEAL UNLABELLED (SPECIAL) BUCKET 5LT</t>
  </si>
  <si>
    <t>DRYSEAL UNLABELLED BUCKET 20LT</t>
  </si>
  <si>
    <t>DRYTECH NOZZLE COMPONENT A BODY 1PC (BOX OF 1000)</t>
  </si>
  <si>
    <t>DRYTECH NOZZLE COMPONENT B TUBE 1PC (BOX OF 1000)</t>
  </si>
  <si>
    <t>DRYTECH NOZZLE COMPONENT C HOSE 1PC</t>
  </si>
  <si>
    <t>DRYTECH NOZZLE COMPONENT D HOSECLIP 1PC</t>
  </si>
  <si>
    <t>DRYTECH NOZZLE COMPONENT G ORING 1PC</t>
  </si>
  <si>
    <t>EARTH ROD 1PC</t>
  </si>
  <si>
    <t>EARTH ROD AND CLAMP KIT 1PC</t>
  </si>
  <si>
    <t>EARTH ROD CLAMP 1PC</t>
  </si>
  <si>
    <t>EARTH WIRE 1.5MM(PERMT) 1PC</t>
  </si>
  <si>
    <t>ECONOMY CRIMPING TOOL 1PC</t>
  </si>
  <si>
    <t>ELKAY PLUG 1PC</t>
  </si>
  <si>
    <t>ENVIROSEAL CONCENTRATE JERRYCAN 2LT (BOX OF 6)</t>
  </si>
  <si>
    <t>ENVIROSEAL JERRYCAN 25LT</t>
  </si>
  <si>
    <t>ENVIROSEAL JERRYCAN 5LT (BOX OF 4)</t>
  </si>
  <si>
    <t>FASTCOAT PU PRIMER BUCKET 5LT</t>
  </si>
  <si>
    <t>FINGER POINTING TROWEL 1PC</t>
  </si>
  <si>
    <t>FIXING TOOL DRIVE TIE WALL TIES (DRYFIX TOOL) BAG 0.31KG</t>
  </si>
  <si>
    <t>FLOAT ARM KIT FOR KSB PUMP 1PC</t>
  </si>
  <si>
    <t>FLOAT SWITCH FOR SUMP/BACKUP 1PC</t>
  </si>
  <si>
    <t>FLOORDRAIN CHANNEL 2MTRS 1PC</t>
  </si>
  <si>
    <t>FOAMJET 260 LV /A JERRYCAN 20KG</t>
  </si>
  <si>
    <t>FOAMJET 260 LV /B JERRYCAN 24KG</t>
  </si>
  <si>
    <t>FOAMJET 260 LV AKS BOTTLE 1KG (BOX OF 10)</t>
  </si>
  <si>
    <t>FOAMJET F /A JERRYCAN 20KG</t>
  </si>
  <si>
    <t>FOAMJET F /B JERRYCAN 23KG</t>
  </si>
  <si>
    <t>FOAMJET T /A JERRYCAN 20KG</t>
  </si>
  <si>
    <t>FOAMJET T /B JERRYCAN 24KG</t>
  </si>
  <si>
    <t>GEL RETARDER JERRYCAN 25LT</t>
  </si>
  <si>
    <t>GEOTEXTILE PROFILE STRIP 1PC</t>
  </si>
  <si>
    <t>GREEN SLEEVING (PER METRE) 1PC</t>
  </si>
  <si>
    <t>GREY CRACK SEAL EPOXY RESIN FILLER CRT 0.5KG (BOX OF 1)</t>
  </si>
  <si>
    <t>GROUT TIE PINNING NOZZLE 1MTR 1PC</t>
  </si>
  <si>
    <t>GROUTMASTER MORTAR PUMP 1PC</t>
  </si>
  <si>
    <t>HEAVY DUTY SUMPFLO METAL COVER LOCKING 350MMX350MM 1PC</t>
  </si>
  <si>
    <t>HEAVY DUTY SUMPFLO METAL COVER LOCKING 450MMX450MM 1PC</t>
  </si>
  <si>
    <t>HIGH IMPACT PLASTER FINISH BAG 25KG</t>
  </si>
  <si>
    <t>HRV150 HEAT RECOVERY VENTILATOR (SINGLE ROOM) 1PC</t>
  </si>
  <si>
    <t>HYDRADRY TANKING SLURRY BAG 20KG</t>
  </si>
  <si>
    <t>HYDRADRY TANKING SLURRY BUCKET 20KG</t>
  </si>
  <si>
    <t>HYDRADRY UNIVERSAL MORTAR BAG 25KG</t>
  </si>
  <si>
    <t>HYDRAFLEX 2 COMPONENT FLEXABLE TANKING SLURRY UNIT 20.15KG</t>
  </si>
  <si>
    <t>HYDRAFLEX LIQUID POLYMER BUCKET 5LT</t>
  </si>
  <si>
    <t>HYDRAFLEX POWDER BAG 15KG</t>
  </si>
  <si>
    <t>HYDROCOAT TANKING SLURRY HSS BUCKET 20KG</t>
  </si>
  <si>
    <t>HYDROCOAT TANKING SLURRY HSS-20 BAG 20KG</t>
  </si>
  <si>
    <t>IDROPRIMER BUCKET 20LT /20.4KG</t>
  </si>
  <si>
    <t>IDROSTOP 10 (20X10) ROLL 10MT (BOX OF 6)</t>
  </si>
  <si>
    <t>IDROSTOP 15 (20X15) ROLL 7MT (BOX OF 6)</t>
  </si>
  <si>
    <t>IDROSTOP 25 (20X25) ROLL 5MT (BOX OF 6)</t>
  </si>
  <si>
    <t>IDROSTOP B25 N ROLL 5MT (BOX OF 6)</t>
  </si>
  <si>
    <t>IDROSTOP MASTIC CRT 300ML/10.14OZ (BOX OF 12)</t>
  </si>
  <si>
    <t>IDROSTOP MULTI 15 ME KIT</t>
  </si>
  <si>
    <t>IDROSTOP MULTI 19 ME KIT</t>
  </si>
  <si>
    <t>IDROSTOP MULTI ST 12 1PC (BOX OF 100)</t>
  </si>
  <si>
    <t>IDROSTOP PVC BE 20 ROLL 20MT</t>
  </si>
  <si>
    <t>IDROSTOP PVC BE 25 ROLL 15MT</t>
  </si>
  <si>
    <t>IDROSTOP PVC BI 30 ROLL 20MT</t>
  </si>
  <si>
    <t>IDROSTOP PVC BI 35 ROLL 15MT</t>
  </si>
  <si>
    <t>IDROSTOP PVC BI25 ROLL 20MT</t>
  </si>
  <si>
    <t>IDROSTOP PVC KR 120 ROLL 15MT</t>
  </si>
  <si>
    <t>IDROSTOP PVC RE 25 ROLL 15MT</t>
  </si>
  <si>
    <t>IDROSTOP PVC RI 15 ROLL 50MT</t>
  </si>
  <si>
    <t>IDROSTOP PVC RI 20 ROLL 50MT</t>
  </si>
  <si>
    <t>IDROSTOP PVC RI 30 ROLL 25MT</t>
  </si>
  <si>
    <t>IDROSTOP SOFT ROLL 5MT (BOX OF 6)</t>
  </si>
  <si>
    <t>INJECTION CREAM CRT 1LT (BOX OF 8)</t>
  </si>
  <si>
    <t>ISOTHERM MEMBRANE (7.5X0.95MT) ROLL 7.125SM</t>
  </si>
  <si>
    <t>KEMGROUT BAG 25KG</t>
  </si>
  <si>
    <t>KENWOOD SUPERFLEX TANKING BUCKET 20KG</t>
  </si>
  <si>
    <t>KENWOOD TANKING SLURRY BAG 20KG</t>
  </si>
  <si>
    <t>KHRV150 EXTENSION KIT UNIT 2.4KG</t>
  </si>
  <si>
    <t>KHRV150 REPLACEMENT FILTER PACK 1PC</t>
  </si>
  <si>
    <t>KIESOL JERRYCAN 5KG</t>
  </si>
  <si>
    <t>KIESOL MB JERRYCAN 10LT</t>
  </si>
  <si>
    <t>KP250 PUMP INTERNAL FLOAT 1PC</t>
  </si>
  <si>
    <t>LAMPOSILEX ALU BAG 5KG (BOX OF 4)</t>
  </si>
  <si>
    <t>LATERAL RESTRAINT KEY (SDS+) 1PC</t>
  </si>
  <si>
    <t>LIGNUM PRO D156 CONC.(FUNGI.&amp;INSECTI.) JERRYCAN 1LT(BOXOF10)</t>
  </si>
  <si>
    <t>LIGNUM PRO GEL BUCKET 7.5KG</t>
  </si>
  <si>
    <t>LIGNUM PRO I62.5 CONC.(INSECTICIDE) JERRYCAN 1LT (BOX OF 10)</t>
  </si>
  <si>
    <t>LIGNUM PRO M50 BIOCIDE MASONRY DRY ROT JERRYCAN 1LT(BOXOF10)</t>
  </si>
  <si>
    <t>LIQUID RETARDER JERRYCAN 25LT</t>
  </si>
  <si>
    <t>LO-CARBON NBR DMEVE HT 100 FAN 1PC</t>
  </si>
  <si>
    <t>LRT KEY SDS END (9DITH70HO) 1PC</t>
  </si>
  <si>
    <t>LRT KEY TOP PIECE (9DSDS140DR) 1PC</t>
  </si>
  <si>
    <t>M8 X 1000MM LATERAL RESTRAINT 1PC</t>
  </si>
  <si>
    <t>M8 X 1200MM LATERAL RESTRAINT 1PC</t>
  </si>
  <si>
    <t>M8 X 1500MM LATERAL RESTRAINT 1PC</t>
  </si>
  <si>
    <t>M8 X 2000MM LATERAL RESTRAINT 1PC</t>
  </si>
  <si>
    <t>MAPEBAND EASY EXTERNAL CORNER 270° 1PC (BOX OF 10)</t>
  </si>
  <si>
    <t>MAPEBAND EASY H130 ROLL 10MT</t>
  </si>
  <si>
    <t>MAPEBAND EASY H130 ROLL 30MT</t>
  </si>
  <si>
    <t>MAPEBAND EASY INTERNAL CORNER 90° 1PC (BOX OF 10)</t>
  </si>
  <si>
    <t>MAPEBAND EXTERNAL CORNER 1PC (BOX OF 50)</t>
  </si>
  <si>
    <t>MAPEBAND FLEX ROLL 200-1 ROLL 20MT</t>
  </si>
  <si>
    <t>MAPEBAND FLEX ROLL 200-2 ROLL 20MT</t>
  </si>
  <si>
    <t>MAPEBAND FLEX ROLL 400-2 ROLL 20MT</t>
  </si>
  <si>
    <t>MAPEBAND GASKET FOR OUTLETS 120X120MM BOX 1PC</t>
  </si>
  <si>
    <t>MAPEBAND GASKET FOR OUTLETS 400X400MM 1PC (BOX OF 10)</t>
  </si>
  <si>
    <t>MAPEBAND H. 12CM ROLL 50MT</t>
  </si>
  <si>
    <t>MAPEBAND INTERNAL CORNER 1PC (BOX OF 50)</t>
  </si>
  <si>
    <t>MAPEBAND PE 120 /WIK ROLL 5MT</t>
  </si>
  <si>
    <t>MAPEBAND PE 120 EXTERNAL CORNER 1PC (BOX OF 10)</t>
  </si>
  <si>
    <t>MAPEBAND PE 120 INTERNAL CORNER 1PC (BOX OF 10)</t>
  </si>
  <si>
    <t>MAPEBAND PE 120 ROLL 10MT</t>
  </si>
  <si>
    <t>MAPEBAND PE 120 ROLL 5MT</t>
  </si>
  <si>
    <t>MAPEBAND SA ROLL 25MT</t>
  </si>
  <si>
    <t>MAPEBAND TPE 170 ROLL 30MT /98.43FT</t>
  </si>
  <si>
    <t>MAPEBAND TPE 325 ROLL 30MT /98.43FT</t>
  </si>
  <si>
    <t>MAPECOAT FILLER BUCKET 2KG /4.408LB</t>
  </si>
  <si>
    <t>MAPEGEL AW /1  JERRYCAN 25KG /55.1LB</t>
  </si>
  <si>
    <t>MAPEGEL AW /2 BOTTLE 2.5KG/5.51LB (BOX OF 4)</t>
  </si>
  <si>
    <t>MAPEGEL AW /3 BOTTLE 0.5KG/1.102LB (BOX OF 24)</t>
  </si>
  <si>
    <t>MAPEGEL E/100 COMP.1 JERRYCAN 25KG/55.1LB</t>
  </si>
  <si>
    <t>MAPEGEL E/100 COMP.2 BOTTLE 2.5KG/5.51LB (BOX OF 4)</t>
  </si>
  <si>
    <t>MAPEGEL E/100 COMP.3 BOTTLE 0.5KG/1.102LB (BOX OF 24)</t>
  </si>
  <si>
    <t>MAPEGEL E/100 COMP.4 JERRYCAN 25KG/55.1LB</t>
  </si>
  <si>
    <t>MAPEGUM WPS BUCKET 10KG</t>
  </si>
  <si>
    <t>MAPEGUM WPS BUCKET 20KG</t>
  </si>
  <si>
    <t>MAPEGUM WPS BUCKET 5KG</t>
  </si>
  <si>
    <t>MAPELASTIC 2KR PLUS UNIT 24KG</t>
  </si>
  <si>
    <t>MAPELASTIC AQUADEFENSE BUCKET 15KG</t>
  </si>
  <si>
    <t>MAPELASTIC AQUADEFENSE BUCKET 7.5KG</t>
  </si>
  <si>
    <t>MAPELASTIC AQUADEFENSE S/FIX BUCKET 7.5KG</t>
  </si>
  <si>
    <t>MAPELASTIC AQUADEFENSE TANKING KIT</t>
  </si>
  <si>
    <t>MAPELASTIC FOUNDATION /A BAG 22KG</t>
  </si>
  <si>
    <t>MAPELASTIC FOUNDATION /B JERRYCAN 10KG</t>
  </si>
  <si>
    <t>MAPELASTIC TU SYSTEM GREEN DRUM 260KG</t>
  </si>
  <si>
    <t>MAPELASTIC TU SYSTEM WHITE DRUM 260KG /208LT</t>
  </si>
  <si>
    <t>MAPELASTIC TURBO ZERO /A BAG 10KG</t>
  </si>
  <si>
    <t>MAPELASTIC TURBO ZERO /A BAG 20KG</t>
  </si>
  <si>
    <t>MAPELASTIC TURBO ZERO /B JERRYCAN 16KG</t>
  </si>
  <si>
    <t>MAPELASTIC TURBO ZERO /B JERRYCAN 8KG</t>
  </si>
  <si>
    <t>MAPELASTIC ZERO (A+B) UNIT 16KG</t>
  </si>
  <si>
    <t>MAPELASTIC ZERO /A BAG 24KG</t>
  </si>
  <si>
    <t>MAPELASTIC ZERO /B JERRYCAN 8KG</t>
  </si>
  <si>
    <t>MAPENET 150 ROLL 1X50MT</t>
  </si>
  <si>
    <t>MAPEPLAN ANCHORING 250 MM 1PC</t>
  </si>
  <si>
    <t>MAPEPLAN DISCHI DI FISSG PVC Ø 80MM FORO 3MM PC (BOX OF 300)</t>
  </si>
  <si>
    <t>MAPEPLAN INJECTION VALVE 1PC (BOX OF 10)</t>
  </si>
  <si>
    <t>MAPEPLAN JOINT R15 ROLL 100MT /328.1FT</t>
  </si>
  <si>
    <t>MAPEPLAN PROFILO DI BORDO SVILUPPO 165X2000MM PC (BOX OF 10)</t>
  </si>
  <si>
    <t>MAPEPLAN PROFILO PARETE SVILUPPO 70X2000MM 1PC (BOX OF 10)</t>
  </si>
  <si>
    <t>MAPEPLAN PROFILO PIANO SVILUPPO 60X2000MM 1PC (BOX OF 10)</t>
  </si>
  <si>
    <t>MAPEPLAN PROTECTION 15 2.10X20 42SM /452.088SQFT</t>
  </si>
  <si>
    <t>MAPEPLAN TE WATERSTOP 400MM ASIMMETRICO ROLL 15MT</t>
  </si>
  <si>
    <t>MAPEPLAN TT ST 20 2.10X20 ROLL 42SM</t>
  </si>
  <si>
    <t>MAPEPLAN TU S 20 2.10X20MT ROLL 42SM /452.088SQFT</t>
  </si>
  <si>
    <t>MAPEPLAN TU WL BR 20 2.10X20</t>
  </si>
  <si>
    <t>MAPEPLAN TU WL BR 21 ROLL 42SM</t>
  </si>
  <si>
    <t>MAPEPLAN WATERSTOP 250MM ROLL 20 M</t>
  </si>
  <si>
    <t>MAPEPLAN WATERSTOP 400 ROLL 20MT /65.62FT</t>
  </si>
  <si>
    <t>MAPEPLAN WATERSTOP 400MM L JOINT 1PC</t>
  </si>
  <si>
    <t>MAPEPLAN WATERSTOP 400MM T JOINT 1PC</t>
  </si>
  <si>
    <t>MAPEPLAN WATERSTOP 400MM X JOINT 1PC</t>
  </si>
  <si>
    <t>MAPEPLAN WATERSTOP BR 400MM CON BULBO ROLL 15M/49.215FT</t>
  </si>
  <si>
    <t>MAPEPLAN WATERSTOP BR 400MM ROLL 15MT /49.215FT</t>
  </si>
  <si>
    <t>MAPEPROOF AL 1200 AP 1X20M ROLL 20SM</t>
  </si>
  <si>
    <t>MAPEPROOF AL AP + 1X20MT ROLL 20SM</t>
  </si>
  <si>
    <t>MAPEPROOF AL AP ROLL 20SM</t>
  </si>
  <si>
    <t>MAPEPROOF AL TAPE D10 AP ROLL 20MT (BOX OF 4)</t>
  </si>
  <si>
    <t>MAPEPROOF AL TAPE S15 ROLL 20MT</t>
  </si>
  <si>
    <t>MAPEPROOF CD 1PC (BOX OF 500)</t>
  </si>
  <si>
    <t>MAPEPROOF FBH 1X20MT ROLL 20SM</t>
  </si>
  <si>
    <t>MAPEPROOF FBT 1X20MT ROLL 20SM</t>
  </si>
  <si>
    <t>MAPEPROOF FBT TAPE 600 BOX 15CMX20MT</t>
  </si>
  <si>
    <t>MAPEPROOF FIX TAPE BOX 20CMX25MT</t>
  </si>
  <si>
    <t>MAPEPROOF HW N ROLL 1.15X5SM</t>
  </si>
  <si>
    <t>MAPEPROOF LIQUID MEMBRANE UNIT 3.5KG</t>
  </si>
  <si>
    <t>MAPEPROOF MASTIC BUCKET 15KG</t>
  </si>
  <si>
    <t>MAPEPROOF SA PRIMER BUCKET 10KG</t>
  </si>
  <si>
    <t>MAPEPROOF SA TAPE BOX 20CMX20MT</t>
  </si>
  <si>
    <t>MAPEPROOF SEAL N BAG 25KG</t>
  </si>
  <si>
    <t>MAPEPROOF SWELL CRT 320ML (BOX OF 6)</t>
  </si>
  <si>
    <t>MAPETEX 110 H 1.05X50MT ROLL 52.5SM</t>
  </si>
  <si>
    <t>MAPETEX 110 H 26.25 CM ROLL 50MT</t>
  </si>
  <si>
    <t>MAPETEX 50 H100 ROLL 25MT</t>
  </si>
  <si>
    <t>MAPETEX FG 1X50 ROLL 50SM (BOX OF 4)</t>
  </si>
  <si>
    <t>MAPETEX SEL N 25X1MT ROLL 25SM</t>
  </si>
  <si>
    <t>MAPETHENE EQ 1.2MM WP 1X20MT ROLL 20SM</t>
  </si>
  <si>
    <t>MAPETHENE LT 1.5MM WP 1MT ROLL 20MT</t>
  </si>
  <si>
    <t>MAPETHENE PRIMER BUCKET 5KG</t>
  </si>
  <si>
    <t>MAPETHENE PRIMER W BUCKET 10KG</t>
  </si>
  <si>
    <t>MCS1 MOULD CLEAR CONCENTRATE JERRYCAN 5LT (BOX OF 4)</t>
  </si>
  <si>
    <t>MCS1 MOULD CLEAR SOLUTION BOTTLE 500ML</t>
  </si>
  <si>
    <t>MCS1 MOULD CLEAR SOLUTION JERRYCAN 5LT (BOX OF 4)</t>
  </si>
  <si>
    <t>MICROTECH BIOCIDE 160G 1PC (BOX OF 15)</t>
  </si>
  <si>
    <t>MICROTECH DUAL PURPOSE F/I CONCENTRATE BOTTLE 0.4KG(BOXOF15)</t>
  </si>
  <si>
    <t>MICROTECH INSECTICIDE CONCENTRATE BOTTLE 0.15KG (BOX OF 15)</t>
  </si>
  <si>
    <t>MICROTECH PRESSURE INJECTION FLUID JERRYCAN 2LT (BOX OF 6)</t>
  </si>
  <si>
    <t>NEW PROTIMETER DIGITAL MINI BLD5702 1PC</t>
  </si>
  <si>
    <t>NO HYDRO LIQUID APPLIED DPM BLACK BUCKET 5LT</t>
  </si>
  <si>
    <t>NO HYDRO TANKING SLURRY BAG 20KG</t>
  </si>
  <si>
    <t>NO MORE DAMP THERMALDRY BUCKET 2.5LT</t>
  </si>
  <si>
    <t>NO MORE DAMP THERMALDRY BUCKET 5LT</t>
  </si>
  <si>
    <t>NON RETURN VALVE FOR PUMP 1PC</t>
  </si>
  <si>
    <t>PASSI-VENT 230 1PC (BOX OF 1)</t>
  </si>
  <si>
    <t>PASSI-VENT 75 1PC (BOX OF 1)</t>
  </si>
  <si>
    <t>PE GREY POLYESTER RESIN CRT 380ML (BOX OF 12)</t>
  </si>
  <si>
    <t>PINNING NOZZLE &amp; COLLET SET 1PC</t>
  </si>
  <si>
    <t>PINNING NOZZLE COLLET 1PC</t>
  </si>
  <si>
    <t>PLAIN BRICK PLUG 100 (60MM NO SEALS) (BLACK) BAG 0.7KG</t>
  </si>
  <si>
    <t>PLAIN BRICK PLUG WITH SEAL 100 (60MM) (RED SEAL) BAG 0.7KG</t>
  </si>
  <si>
    <t>PLAIN CORNER STRIP ROLL 20MT (BOX OF 2)</t>
  </si>
  <si>
    <t>PLAIN FIBRE TAPE 1MM X 115MM ROLL 25MT</t>
  </si>
  <si>
    <t>PLAIN FLEXIBLE TANKING SLURRY BUCKET 20KG</t>
  </si>
  <si>
    <t>PLAIN GAS TAPE 1MM X 50MM X 40MTS ROLL 40MT</t>
  </si>
  <si>
    <t>PLAIN OVERSEAL TAPE 75MM X 2MM X 22.5M ROLL 22.5MT</t>
  </si>
  <si>
    <t>PLAIN PLASTER PLUG 100 (70MM NO SEALS) BAG 0.8KG</t>
  </si>
  <si>
    <t>PLAIN PLASTER PLUG GREEN (200) BAG 1.4KG</t>
  </si>
  <si>
    <t>PLAIN PLASTER PLUGS WITH SEAL 100(70MM WITH SEALS) BAG 0.8KG</t>
  </si>
  <si>
    <t>PLAIN PLASTERPLUG WITH SEALS GREEN (200) BAG 1.6KG</t>
  </si>
  <si>
    <t>PLAIN ROPE 10MM X 5M ROLL 5MT</t>
  </si>
  <si>
    <t>PLAIN SUPERSEAL TAPE 1.5MM X 150MM ROLL 20MT (BOX OF 2)</t>
  </si>
  <si>
    <t>PLAIN TANKING SLURRY BAG 20KG</t>
  </si>
  <si>
    <t>PLAIN TANKING SLURRY BUCKET 20KG</t>
  </si>
  <si>
    <t>PLAIN TAPE 28MM X 2MM X 22.5M ROLL 22.5MT</t>
  </si>
  <si>
    <t>PLAIN TITANIUM WIRE 1MT (ROLL OF 50)</t>
  </si>
  <si>
    <t>PLANISEAL 88 GREY BAG 25KG</t>
  </si>
  <si>
    <t>PLANISEAL 88 WHITE BAG 25KG</t>
  </si>
  <si>
    <t>PLANISEAL DW BAG 25KG</t>
  </si>
  <si>
    <t>PLASTER PLUG 50MM BOX 500 PC</t>
  </si>
  <si>
    <t>PLASTER PLUG 70MM BOX 500 PC</t>
  </si>
  <si>
    <t>PLASTIC EXTENDED NOZZLE FOR 1LTR ULTRACURE CRT 1PC</t>
  </si>
  <si>
    <t>PLASTIC EXTENDED NOZZLE FOR 380CC CRT 1PC</t>
  </si>
  <si>
    <t>PLASTIC INSULATION ANCHOR 110MM BAG 250PC</t>
  </si>
  <si>
    <t>PLASTIC INSULATION ANCHOR 130MM BAG 250PC</t>
  </si>
  <si>
    <t>PLASTIC INSULATION ANCHOR 90MM BAG 250PC</t>
  </si>
  <si>
    <t>PLASTIMUL BUCKET 12KG</t>
  </si>
  <si>
    <t>PLASTIMUL BUCKET 20KG</t>
  </si>
  <si>
    <t>PN 10 X 250 NEOPRENE ONE FIX 1PC (BOX OF 200)</t>
  </si>
  <si>
    <t>PN 11 X 175 NEOPRENE ONE FIX 1PC (BOX OF 200)</t>
  </si>
  <si>
    <t>PN 11 X 200 ONE FIX NEOPRENE 1PC (BOX OF 200)</t>
  </si>
  <si>
    <t>PN 11 X 213 NEOPRENE ONE FIX 1PC (BOX OF 200)</t>
  </si>
  <si>
    <t>PN 11 X 225 NEOPRENE ONE FIX 1PC (BOX OF 200)</t>
  </si>
  <si>
    <t>PN 1FX 10 X 305 NEOPRENE ONE FIX TIES 1PC (BOX OF 200)</t>
  </si>
  <si>
    <t>POLIESTERE 60 GR./SM. (H.1XL.100) ROLL 100SM</t>
  </si>
  <si>
    <t>POLYCOLL BUCKET 25KG</t>
  </si>
  <si>
    <t>POLYCOLL BUCKET 5KG</t>
  </si>
  <si>
    <t>POLYDREN PL 200 GR/SM H100 CM L100 ROLL 100SM</t>
  </si>
  <si>
    <t>POLYDREN PP HT GR. 500 ROLL 2X50MT 100SM /1076.4 SQFT</t>
  </si>
  <si>
    <t>POLYDREN PP HT GR. 700 ROLL 2X40MT 80SM /861.1SQFT</t>
  </si>
  <si>
    <t>POLYFOND KIT DRAIN 2X20MT ROLL 40SM</t>
  </si>
  <si>
    <t>POLYGLASS ALU 0.8MM WP 1X30MT ROLL 30SM (BOX OF 1)</t>
  </si>
  <si>
    <t>POLYPRIMER CE BUCKET 20LT /18.6KG</t>
  </si>
  <si>
    <t>POLYPRIMER HP 45 T.F. PROFESSIONAL BUCKET 20LT /19.4KG</t>
  </si>
  <si>
    <t>POWER PACKS (LECTROS) 1PC</t>
  </si>
  <si>
    <t>POWERMAXX 2 (UPS) FOR ALERTMAXX2 1PC</t>
  </si>
  <si>
    <t>PREMIUM WALL TIE FIXING TOOL M5 1PC</t>
  </si>
  <si>
    <t>PRIMER FT /A BUCKET 4.7KG</t>
  </si>
  <si>
    <t>PRIMER FT /B BOTTLE 0.7KG (BOX OF 8)</t>
  </si>
  <si>
    <t>PRIMER HYDRO HF JERRYCAN 5LT</t>
  </si>
  <si>
    <t>PRIMER P1 DRUM 50KG</t>
  </si>
  <si>
    <t>PRIMER P2 BUCKET 50KG</t>
  </si>
  <si>
    <t>PRIMER PU FAST /A BUCKET 4.5KG</t>
  </si>
  <si>
    <t>PRIMER PU FAST /B BUCKET 5.5KG</t>
  </si>
  <si>
    <t>PRIMER R30 BUCKET 10KG</t>
  </si>
  <si>
    <t>PRO PLUS SUMP CHAMBER GREEN WITH LONG NECK 1PC</t>
  </si>
  <si>
    <t>PRO PLUS SUMP KIT (1X301. SINGLE OUTLET. ALARM. EXT NECK)</t>
  </si>
  <si>
    <t>PRO PLUS SUMP KIT (1X303. SINGLE OUTLET. ALARM. EXT NECK)</t>
  </si>
  <si>
    <t>PRO PLUS SUMP KIT (2X301. SINGLE OUTLET. ALARM. EXT NECK)</t>
  </si>
  <si>
    <t>PRO PLUS SUMP KIT (2X301. TWIN OUTLET. ALARM. EXT NECK) UNIT</t>
  </si>
  <si>
    <t>PRO PLUS SUMP KIT (2X303. SINGLE OUTLET. ALARM. EXT NECK)</t>
  </si>
  <si>
    <t>PRO PLUS SUMP KIT (2X303. TWIN OULTET. ALARM. EXT NECK) UNIT</t>
  </si>
  <si>
    <t>PRO SUMP CHAMBER (GREEN CHAMBER - NO NECK) 1PC</t>
  </si>
  <si>
    <t>PRO SUMP KIT 12.5 (1X303. SINGLE OUTLET. ALARM) UNIT 19.25KG</t>
  </si>
  <si>
    <t>PRO SUMP KIT 12.5 TWIN (2X303. SINGLE OUTLET. ALARM) UNIT</t>
  </si>
  <si>
    <t>PRO SUMP KIT 12.5TWIN (2X303-TWIN OUTLET-ALARM) UNIT 27.51KG</t>
  </si>
  <si>
    <t>PRO SUMP KIT 6.8 (1 X 301. SINGLE OUTLET. ALARM) 1PC</t>
  </si>
  <si>
    <t>PRO SUMP KIT 6.8 (2 X 301. SINGLE OUTLET. ALARM) 1PC</t>
  </si>
  <si>
    <t>PRO SUMP KIT 6.8 TWIN (2 X 301. TWIN OUTLET. ALARM) 1PC</t>
  </si>
  <si>
    <t>PROTIMETER BLE TEMPERATURE &amp; MOISTURE LOGGER (1) 1PC</t>
  </si>
  <si>
    <t>PROTIMETER MINI MOISTURE METER V.2 1PC</t>
  </si>
  <si>
    <t>PROTIMETER MMS3 1PC</t>
  </si>
  <si>
    <t>PROTIMETER SURVEYMASTER 1PC</t>
  </si>
  <si>
    <t>PURGEL JERRYCAN 5KG</t>
  </si>
  <si>
    <t>PURTOP 100 BUCKET 14KG</t>
  </si>
  <si>
    <t>PURTOP 1000 N /A GREY DRUM 225KG /214.29LT</t>
  </si>
  <si>
    <t>PURTOP 1000 N /B  DRUM 225KG /202.7LT</t>
  </si>
  <si>
    <t>PURTOP 200 /A BUCKET 8KG</t>
  </si>
  <si>
    <t>PURTOP 200 /B BUCKET 6KG</t>
  </si>
  <si>
    <t>PURTOP 400 M /A DRUM 220KG</t>
  </si>
  <si>
    <t>PURTOP 400 M /B DRUM 225KG</t>
  </si>
  <si>
    <t>PURTOP ADY BUCKET 1.2LT (BOX OF 6)</t>
  </si>
  <si>
    <t>PURTOP EASY DW /A WHITE BUCKET 12.2KG</t>
  </si>
  <si>
    <t>PURTOP EASY DW /B BUCKET 2.8KG</t>
  </si>
  <si>
    <t>PURTOP EASY GREY BUCKET 15KG</t>
  </si>
  <si>
    <t>PURTOP PRIMER NERO BUCKET 20KG</t>
  </si>
  <si>
    <t>QUADPROOF EVOLUTION 400 1.65MT X 61MT ROLL 100.65SM</t>
  </si>
  <si>
    <t>QUADPROOF GAS DPC 1200MM X 20M ROLL 24SM</t>
  </si>
  <si>
    <t>QUADPROOF GAS DPC 600MM X 20M ROLL 12SM</t>
  </si>
  <si>
    <t>QUADPROOF GAS DPC 900MM X 20M ROLL 18SM</t>
  </si>
  <si>
    <t>QUADPROOF GAS MEMBRANE 4M X 20M ROLL 80SM</t>
  </si>
  <si>
    <t>QUADPROOF TOP HAT 110MM 1PC</t>
  </si>
  <si>
    <t>QUADPROOF ULTRA BOXED CORNER 90DEG 1PC</t>
  </si>
  <si>
    <t>QUADPROOF ULTRA EDGE STRIP 412MM X 20M ROLL 20MT</t>
  </si>
  <si>
    <t>QUADPROOF ULTRA FLANGED CORNER 90DEG 1PC</t>
  </si>
  <si>
    <t>QUADPROOF ULTRA MEMBRANE 1.65M X 30M ROLL 49.5SM</t>
  </si>
  <si>
    <t>QUADPROOF ULTRA TOP HAT 110MM 1PC</t>
  </si>
  <si>
    <t>RECESSED ACCESS COVER 450X450 1PC</t>
  </si>
  <si>
    <t>RED CRACK SEAL EPOXY RESIN FILLER CRT 0.5KG (BOX OF 1)</t>
  </si>
  <si>
    <t>RENDERPROOF ADDITIVE DRUM 200LT /206KG</t>
  </si>
  <si>
    <t>RENDERPROOF ADDITIVE JERRYCAN 25LT</t>
  </si>
  <si>
    <t>RENDERPROOF ADDITIVE JERRYCAN 5LT</t>
  </si>
  <si>
    <t>RENOVATION PLASTER BAG 20KG</t>
  </si>
  <si>
    <t>RENOVATION PLASTER PLAIN BAG 20KG</t>
  </si>
  <si>
    <t>RESFOAM 1 KM FLEX JERRYCAN 20KG /44.08LB</t>
  </si>
  <si>
    <t>RESFOAM 1K-M ACC BOTTLE 1KG (BOX OF 12)</t>
  </si>
  <si>
    <t>RESFOAM 1KM IT AKS BOTTLE 1KG/2.204LB (BOX OF 12)</t>
  </si>
  <si>
    <t>RESFOAM 1KM IT JERRYCAN 20KG/44.08LB</t>
  </si>
  <si>
    <t>RESFOAM 1KM IT JERRYCAN 5KG</t>
  </si>
  <si>
    <t>RESFOAM 1K-M JERRYCAN 20KG</t>
  </si>
  <si>
    <t>RESIN EXTENSION NOZZLE 350MM 1PC</t>
  </si>
  <si>
    <t>RESIN GUN (SINGLE TUBE) 1PC</t>
  </si>
  <si>
    <t>RESIN GUN (TWIN TUBE) 1PC</t>
  </si>
  <si>
    <t>RESIN NOZZLE 1PC</t>
  </si>
  <si>
    <t>RUBBER SEAL FOR SUMP KIT 110MM 1PC</t>
  </si>
  <si>
    <t>RUBBER SEAL FOR SUMP KIT 50MM 1PC</t>
  </si>
  <si>
    <t>RUBBER WALL SEAL 160MM 1PC</t>
  </si>
  <si>
    <t>SAFETY GOGGLES 1PC</t>
  </si>
  <si>
    <t>SBR LATEX BONDING AGENT JERRYCAN 25LT</t>
  </si>
  <si>
    <t>SBR LATEX BONDING AGENT JERRYCAN 5LT (BOX OF 4)</t>
  </si>
  <si>
    <t>SDS DRILL BIT 10 X 300 1PC</t>
  </si>
  <si>
    <t>SDS DRILL BIT 10 X 310 1PC</t>
  </si>
  <si>
    <t>SDS DRILL BIT 11 X 300 1PC</t>
  </si>
  <si>
    <t>SDS DRILL BIT 13 X 160 1PC</t>
  </si>
  <si>
    <t>SDS DRILL BIT 6 X 160 PC 1PC</t>
  </si>
  <si>
    <t>SHOWER WATERPROOFING KIT</t>
  </si>
  <si>
    <t>SILICAJET EXP/4 /A JERRYCAN 24KG /52.896LB</t>
  </si>
  <si>
    <t>SILICAJET EXP/4 /B JERRYCAN 20KG /44.08LB</t>
  </si>
  <si>
    <t>SPONGE (SP41) 1PC</t>
  </si>
  <si>
    <t>SQUARE HOME DRY VENT 1PC</t>
  </si>
  <si>
    <t>STITCH GUN POINTING NOZ (METAL) 1PC</t>
  </si>
  <si>
    <t>SUMP ALARM ONLY 1PC</t>
  </si>
  <si>
    <t>SUMP ALARM WITH FLOAT SWITCH (10M) 1PC</t>
  </si>
  <si>
    <t>SUMP BLACK 301 WITH LID (1X301. SINGLE OUTLET. ALARM) 1PC</t>
  </si>
  <si>
    <t>SUMP BLACK TWIN KP250 (2XKP250. SINGLE OUTLET. ALARM) 1PC</t>
  </si>
  <si>
    <t>SUMP PIPEWORK KIT (KIT A) 1PC</t>
  </si>
  <si>
    <t>SUMP PUMP KIT SINGLE OUTLET. COVER &amp; ALARM (PRE-BUILT) 1PC</t>
  </si>
  <si>
    <t>SUMPFLO COVER 450 X 450 WITH LOCKABLE LID 1PC</t>
  </si>
  <si>
    <t>SUMPFLO METAL COVER/LID 450MM X 450MM 1PC</t>
  </si>
  <si>
    <t>SUMPFLUSH TANK C/W COVER &amp; BRACKET 1PC</t>
  </si>
  <si>
    <t>SUREPRIME ULTRA PRIMER BUCKET 5LT</t>
  </si>
  <si>
    <t>SUREPROOF ULTRA MEMBRANE PRINTBOX 1M X 20M ROLL 20SM</t>
  </si>
  <si>
    <t>SUREPROOF WATERPROOFING MEMBRANE 1050MM ROLL 20SM</t>
  </si>
  <si>
    <t>SURETAPE 300MMX20MT SUREPROOF MEMBRANE ROLL 20MT (BOX OF 3)</t>
  </si>
  <si>
    <t>TANKING SLURRY BAG 20KG</t>
  </si>
  <si>
    <t>TANKING SLURRY BUCKET 20KG</t>
  </si>
  <si>
    <t>TAPE VF 120 10MTRS X 120MM ROLL 10MT</t>
  </si>
  <si>
    <t>TECHNOSEAL DPM BLACK BUCKET 5KG</t>
  </si>
  <si>
    <t>TECHNOSEAL DPM WHITE BUCKET 5KG</t>
  </si>
  <si>
    <t>THE REMCON 1PC</t>
  </si>
  <si>
    <t>THERM - A - WALL BUCKET 5LT</t>
  </si>
  <si>
    <t>THOR /B BUCKET 5LT</t>
  </si>
  <si>
    <t>THOR DEBOND SLEEVE 1PC</t>
  </si>
  <si>
    <t>THOR EPOXY ACRYLATE RESIN CRT 400ML (BOX OF 12)</t>
  </si>
  <si>
    <t>THOR EPOXY RESIN CRT 400ML (BOX OF 20)</t>
  </si>
  <si>
    <t>THOR HELICAL CD TIE 180MM BAG 50PC (BOX OF 1000)</t>
  </si>
  <si>
    <t>THOR HELICAL CD TIE 205MM BAG 50PC (BOX OF 1000)</t>
  </si>
  <si>
    <t>THOR HELICAL CD TIE 230MM BAG 50PC (BOX OF 1000)</t>
  </si>
  <si>
    <t>THOR HELICAL CD TIE 255MM BAG 50PC (BOX OF 1000)</t>
  </si>
  <si>
    <t>THOR HELICAL CD TIE 280MM BAG 50PC (BOX OF 1000)</t>
  </si>
  <si>
    <t>THOR HELICAL CD TIE 305MM BAG 50PC (BOX OF 1000)</t>
  </si>
  <si>
    <t>THOR HELICAL CD TIE 330MM BAG 50PC (BOX OF 1000)</t>
  </si>
  <si>
    <t>THOR HELICAL CD TIE 355MM BAG 50PC (BOX OF 1000)</t>
  </si>
  <si>
    <t>THOR HELICAL CD TIE 9MMX400MM BAG 50PC (BOX OF 1000)</t>
  </si>
  <si>
    <t>THOR W 60 FLEXI GROUT 3LTR (GREY) UNIT 6.5KG</t>
  </si>
  <si>
    <t>TRISEAL GREY UNIT 5KG</t>
  </si>
  <si>
    <t>TRITON CEMFLEX OMEGA CLIPS (PER CLIP) 1PC</t>
  </si>
  <si>
    <t>TRITON CEMFLEX OVERLAP CLIPS (PER CLIP) 1PC</t>
  </si>
  <si>
    <t>TRITON CEMFLEX VB WATERSTOP 100MM WIDE WITH CLIPS ROLL 2MT</t>
  </si>
  <si>
    <t>TRITON SEALING PLUGS 22MM BAG 100 PC</t>
  </si>
  <si>
    <t>TRITON SEALING STRAP 110-125MM BAG 0.4KG</t>
  </si>
  <si>
    <t>TRITON SEALING UFO 24MM BAG 100 PC</t>
  </si>
  <si>
    <t>TT ADMIX BAG 4.1KG (BUCKET OF 6)</t>
  </si>
  <si>
    <t>TT SWELL MASTIC S2 SAUSAGE 600ML (BOX OF 10)</t>
  </si>
  <si>
    <t>TT WATERSTOP (25MM X 20MM) ROLL 5MT (BOX OF 6)</t>
  </si>
  <si>
    <t>ULTRACURE 1 LITRE GUN AND NOZZLE KIT UNIT 1.56KG</t>
  </si>
  <si>
    <t>ULTRACURE 1LTR CRT GUN 1PC</t>
  </si>
  <si>
    <t>ULTRACURE 1LTR NOZZLE 1PC</t>
  </si>
  <si>
    <t>ULTRACURE 600ML FOIL GUN 1PC</t>
  </si>
  <si>
    <t>ULTRACURE 600ML FOIL NOZZLE 1PC</t>
  </si>
  <si>
    <t>ULTRACURE 600ML GUN &amp; NOZZLE KIT UNIT 2KG</t>
  </si>
  <si>
    <t>ULTRACURE APPLICATOR (TANGO) 1PC</t>
  </si>
  <si>
    <t>ULTRACURE BAG 8LT (BOX OF 1)</t>
  </si>
  <si>
    <t>ULTRACURE BUCKET 5LT</t>
  </si>
  <si>
    <t>ULTRACURE CRT 1LT (BOX OF 8)</t>
  </si>
  <si>
    <t>ULTRACURE CRT 380ML (BOX OF 14)</t>
  </si>
  <si>
    <t>ULTRACURE FOIL SAUSAGE 600ML (BOX OF 20)</t>
  </si>
  <si>
    <t>ULTRACURE KIT (8 X 1LTRS)  UNIT 10.5KG</t>
  </si>
  <si>
    <t>ULTRACURE KIT 380MM  UNIT 5KG</t>
  </si>
  <si>
    <t>UNIVERSAL CHANNEL OUTLET 1PC</t>
  </si>
  <si>
    <t>UTT END BOX MULTI 11-19 10 1PC (BOX OF 10)</t>
  </si>
  <si>
    <t>UTT END BOX MULTI 13 F 1PC (BOX OF 10)</t>
  </si>
  <si>
    <t>UTT HOT SHRINKING HOSE FOR IDROSTOP MULTI 19 ROL.30M/98.43FT</t>
  </si>
  <si>
    <t>UTT IDROSTOP MULTI 11 ROLL 100MT /328.1FT</t>
  </si>
  <si>
    <t>UTT IDROSTOP MULTI 11 SYSTEM 1BOX</t>
  </si>
  <si>
    <t>UTT IDROSTOP MULTI 19 ROLL 100MT /328.1FT</t>
  </si>
  <si>
    <t>UTT IDROSTOP MULTI 19 SYSTEM 1BOX</t>
  </si>
  <si>
    <t>UTT INJECTION TUBE 5.7-8 ROLL 50MT /164.05FT</t>
  </si>
  <si>
    <t>UTT MAPEPLAN TAPE PVC H.220MM TICK.1.6MM ROLL 30M/98.43FT</t>
  </si>
  <si>
    <t>UTT MAPEPLAN TAPE PVC H.350MM TICK.1.6MM ROLL 20MT/65.62FT</t>
  </si>
  <si>
    <t>UTT PLASTIC CLIP FOR IDROSTOP MULTI 11 BAG 100PC</t>
  </si>
  <si>
    <t>UTT PLASTIC CLIP FOR IDROSTOP MULTI 19 BAG 100PC</t>
  </si>
  <si>
    <t>UTT PLASTIC CONNECTOR FOR IDROSTOP MULTI 11 BAG 100PC</t>
  </si>
  <si>
    <t>UTT PLASTIC CONNECTOR FOR IDROSTOP MULTI 19 BAG 100PC</t>
  </si>
  <si>
    <t>UTT QUICK FITTING CONNECTOR 8-10MM  BOX 10PC/BAG</t>
  </si>
  <si>
    <t>UTT RED VENTILATION HOSE FOR IDROSTOP MULTI 11 ROLL 50MT</t>
  </si>
  <si>
    <t>UTT SEALING PLUG YELLOW FOR IDROSTOP MULTI 11 BAG 50PC</t>
  </si>
  <si>
    <t>UTT SEALING PLUG YELLOW FOR IDROSTOP MULTI 19 BAG 50PC</t>
  </si>
  <si>
    <t>UTT SHRINKING HOSE FOR IDROSTOP MULTI 11 ROLL 50MT/164.05FT</t>
  </si>
  <si>
    <t>UTT TRANSP.VENTILATION HOSE FOR IDROSMULTI19 ROLL 50MT/164FT</t>
  </si>
  <si>
    <t>UTT TRANSPAR.VENTILAT.HOSE FOR IDROST.MULTI 11 ROLL 50MT</t>
  </si>
  <si>
    <t>VANDEX BB75 BAG 25KG</t>
  </si>
  <si>
    <t>VISQUEEN LIQUID GAS MEMBRANE (BPI ONLY) BUCKET 12.5LT</t>
  </si>
  <si>
    <t>WALL TIE LOAD TEST UNIT 1PC</t>
  </si>
  <si>
    <t>WARM COAT (IGOE) BUCKET 5LT</t>
  </si>
  <si>
    <t>WATER GUARD JETTING EYE WITH 200MM FLEXI EXTENSION 1PC</t>
  </si>
  <si>
    <t>WATERGUARD CHANNEL 200MM 1PC</t>
  </si>
  <si>
    <t>WATERGUARD CHANNEL 2MTRS 1PC</t>
  </si>
  <si>
    <t>WATERGUARD CHANNEL CONNECTOR 1PC</t>
  </si>
  <si>
    <t>WATERGUARD JETTING EYE 1PC</t>
  </si>
  <si>
    <t>WATERGUARD OUTLET 50MM 1PC</t>
  </si>
  <si>
    <t>WATERGUARD STOP END 1PC</t>
  </si>
  <si>
    <t>WATERPROOF JOINTING TAPE S/FIX ROLL 5MT (BOX OF 8)</t>
  </si>
  <si>
    <t>WP FLOW BAG 25KG</t>
  </si>
  <si>
    <t>WS22B 40 X 92.5D ANGLE SWEPT TEE 1PC</t>
  </si>
  <si>
    <t>WYKAMOL BASELINE 8 ACCESSORY PACK UNIT 0.5KG</t>
  </si>
  <si>
    <t>WYKAMOL BENTO SEAL LM  BUCKET 15KG</t>
  </si>
  <si>
    <t>WYKAMOL BENTONITE LM H 1.1MT ROLL 5MT</t>
  </si>
  <si>
    <t>WYKAMOL BRICK SEAL ONLY (100) BAG 100 PC</t>
  </si>
  <si>
    <t>WYKAMOL CORNER 1PC</t>
  </si>
  <si>
    <t>WYKAMOL CORNER STRIP ROLL 20M (BOX OF 2)</t>
  </si>
  <si>
    <t>WYKAMOL CRACKSTITCHING KIT UNIT 9KG</t>
  </si>
  <si>
    <t>WYKAMOL CURE 90 JERRYCAN 25LT</t>
  </si>
  <si>
    <t>WYKAMOL FIBRE TAPE 1MM X 115MM ROLL 25MT</t>
  </si>
  <si>
    <t>WYKAMOL FIBRE TAPE 1MM X 75MM ROLL 5MT</t>
  </si>
  <si>
    <t>WYKAMOL GAS TAPE 1MM X 50MM X 40MTS ROLL 40MT</t>
  </si>
  <si>
    <t>WYKAMOL GR FOIL (1X25MT) ROLL 25SM</t>
  </si>
  <si>
    <t>WYKAMOL HIGH LOAD INSULATION BOARD 5.54SM (MULTIPACK OF 8)</t>
  </si>
  <si>
    <t>WYKAMOL LIQUID GAS MEMBRANE RED BUCKET 15KG</t>
  </si>
  <si>
    <t>WYKAMOL MOULD ERADICATION KIT UNIT 1.16KG</t>
  </si>
  <si>
    <t>WYKAMOL OVERSEAL TAPE (75X2MM) ROLL 22.5MT</t>
  </si>
  <si>
    <t>WYKAMOL PLASTER SEAL ONLY BAG 100PC</t>
  </si>
  <si>
    <t>WYKAMOL PUMP 12.5 1PC</t>
  </si>
  <si>
    <t>WYKAMOL PUMP 6.8 1PC</t>
  </si>
  <si>
    <t>WYKAMOL ROPE 10MM X 5M ROLL 5MT</t>
  </si>
  <si>
    <t>WYKAMOL SALT NEUTRALISER JERRYCAN 5LT</t>
  </si>
  <si>
    <t>WYKAMOL STEEL CAGE 1MTR 1PC</t>
  </si>
  <si>
    <t>WYKAMOL SUPERSEAL TAPE 1.5MMX150MM ROLL 20MT (BOX OF 2)</t>
  </si>
  <si>
    <t>WYKAMOL T PIECE 1PC</t>
  </si>
  <si>
    <t>WYKAMOL TAPE 28MMX2MMX22.5M ROLL 22.5MT</t>
  </si>
  <si>
    <t>WYKAMOL TERMINATION STRIP 20MMX1MM ROLL 10MT (BOX OF 10)</t>
  </si>
  <si>
    <t>WYKAMOL UPS 2000 BATTERY BACK UP 1PC</t>
  </si>
  <si>
    <t>WYKAMOL UPS 3000 BATTERY BACK UP 1PC</t>
  </si>
  <si>
    <t>WYKAMOL WATER BAR (20MM X 25MM) ROLL 5MT (BOX OF 6)</t>
  </si>
  <si>
    <t>PRODUCT CODE</t>
  </si>
  <si>
    <t>DESCRIPTION</t>
  </si>
  <si>
    <t>NEW LIST PRICE 2026</t>
  </si>
  <si>
    <t>Amended 24th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</si>
</sst>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&quot;£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43" fontId="0" fillId="0" borderId="0" xfId="1" applyFont="1"/>
    <xf numFmtId="43" fontId="0" fillId="0" borderId="0" xfId="1" applyFont="1" applyFill="1"/>
    <xf numFmtId="44" fontId="1" fillId="4" borderId="1" xfId="2" applyFont="1" applyFill="1" applyBorder="1" applyAlignment="1">
      <alignment horizontal="center"/>
    </xf>
    <xf numFmtId="44" fontId="1" fillId="2" borderId="1" xfId="2" applyFont="1" applyFill="1" applyBorder="1" applyAlignment="1">
      <alignment horizontal="center"/>
    </xf>
    <xf numFmtId="44" fontId="1" fillId="0" borderId="1" xfId="2" applyFont="1" applyFill="1" applyBorder="1" applyAlignment="1">
      <alignment horizontal="center"/>
    </xf>
    <xf numFmtId="44" fontId="1" fillId="5" borderId="1" xfId="2" applyFont="1" applyFill="1" applyBorder="1" applyAlignment="1">
      <alignment horizontal="center"/>
    </xf>
    <xf numFmtId="44" fontId="1" fillId="0" borderId="0" xfId="2" applyFont="1" applyFill="1" applyAlignment="1">
      <alignment horizontal="center"/>
    </xf>
    <xf numFmtId="164" fontId="0" fillId="0" borderId="0" xfId="0" applyNumberFormat="1"/>
    <xf numFmtId="164" fontId="1" fillId="5" borderId="0" xfId="0" applyNumberFormat="1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3" fontId="3" fillId="0" borderId="1" xfId="1" applyFont="1" applyFill="1" applyBorder="1"/>
    <xf numFmtId="164" fontId="3" fillId="0" borderId="1" xfId="0" applyNumberFormat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43" fontId="3" fillId="0" borderId="0" xfId="1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/>
    <xf numFmtId="165" fontId="3" fillId="0" borderId="0" xfId="2" applyNumberFormat="1" applyFont="1" applyFill="1" applyAlignment="1">
      <alignment horizontal="right"/>
    </xf>
    <xf numFmtId="0" fontId="4" fillId="0" borderId="0" xfId="0" applyFont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 wrapText="1"/>
    </xf>
    <xf numFmtId="43" fontId="3" fillId="0" borderId="1" xfId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188-4512-44F5-BEE7-C5836440CF97}">
  <dimension ref="A1:W594"/>
  <sheetViews>
    <sheetView workbookViewId="0">
      <selection sqref="A1:XFD1048576"/>
    </sheetView>
  </sheetViews>
  <sheetFormatPr defaultRowHeight="15" x14ac:dyDescent="0.25"/>
  <cols>
    <col min="1" max="1" width="24.42578125" style="1" customWidth="1"/>
    <col min="2" max="2" width="52.140625" customWidth="1"/>
    <col min="3" max="3" width="24.42578125" style="15" bestFit="1" customWidth="1"/>
    <col min="4" max="4" width="9.140625" hidden="1" customWidth="1"/>
    <col min="5" max="5" width="29.42578125" hidden="1" customWidth="1"/>
    <col min="6" max="6" width="0" hidden="1" customWidth="1"/>
    <col min="7" max="7" width="32.42578125" hidden="1" customWidth="1"/>
    <col min="8" max="8" width="34.7109375" hidden="1" customWidth="1"/>
    <col min="9" max="9" width="19.140625" hidden="1" customWidth="1"/>
    <col min="10" max="11" width="0" hidden="1" customWidth="1"/>
    <col min="12" max="12" width="16.42578125" hidden="1" customWidth="1"/>
    <col min="13" max="13" width="9.5703125" style="9" hidden="1" customWidth="1"/>
    <col min="14" max="14" width="24.5703125" hidden="1" customWidth="1"/>
    <col min="15" max="16" width="9.5703125" style="9" hidden="1" customWidth="1"/>
    <col min="17" max="17" width="20.85546875" style="16" customWidth="1"/>
    <col min="18" max="23" width="9.140625" style="22"/>
  </cols>
  <sheetData>
    <row r="1" spans="1:17" x14ac:dyDescent="0.25">
      <c r="A1" s="5" t="s">
        <v>0</v>
      </c>
      <c r="B1" s="6" t="s">
        <v>1</v>
      </c>
      <c r="C1" s="1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1111</v>
      </c>
      <c r="J1" s="6" t="s">
        <v>8</v>
      </c>
      <c r="K1" s="6" t="s">
        <v>9</v>
      </c>
      <c r="L1" s="2"/>
      <c r="M1" s="9" t="s">
        <v>1112</v>
      </c>
      <c r="Q1" s="16" t="s">
        <v>1114</v>
      </c>
    </row>
    <row r="2" spans="1:17" x14ac:dyDescent="0.25">
      <c r="A2" s="3" t="s">
        <v>10</v>
      </c>
      <c r="B2" s="4" t="s">
        <v>11</v>
      </c>
      <c r="C2" s="12">
        <f>I2*3%+I2</f>
        <v>0.81370000000000009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0.79</v>
      </c>
      <c r="J2" s="4" t="s">
        <v>13</v>
      </c>
      <c r="K2" s="4" t="s">
        <v>18</v>
      </c>
      <c r="L2" t="s">
        <v>10</v>
      </c>
      <c r="M2" s="9">
        <f>C2*1.21366</f>
        <v>0.98755514200000005</v>
      </c>
      <c r="N2">
        <v>0</v>
      </c>
      <c r="O2" s="9">
        <v>0</v>
      </c>
      <c r="P2" s="9">
        <f>O2-M2</f>
        <v>-0.98755514200000005</v>
      </c>
      <c r="Q2" s="16">
        <f>C2*1.21366</f>
        <v>0.98755514200000005</v>
      </c>
    </row>
    <row r="3" spans="1:17" x14ac:dyDescent="0.25">
      <c r="A3" s="3" t="s">
        <v>19</v>
      </c>
      <c r="B3" s="4" t="s">
        <v>20</v>
      </c>
      <c r="C3" s="12">
        <v>60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/>
      <c r="J3" s="4" t="s">
        <v>13</v>
      </c>
      <c r="K3" s="4" t="s">
        <v>18</v>
      </c>
      <c r="L3">
        <v>0</v>
      </c>
      <c r="M3" s="9">
        <f t="shared" ref="M3:M66" si="0">C3*1.21366</f>
        <v>72.819599999999994</v>
      </c>
      <c r="N3">
        <v>0</v>
      </c>
      <c r="O3" s="9">
        <v>0</v>
      </c>
      <c r="P3" s="9">
        <f t="shared" ref="P3:P66" si="1">O3-M3</f>
        <v>-72.819599999999994</v>
      </c>
      <c r="Q3" s="16">
        <f t="shared" ref="Q3:Q66" si="2">C3*1.21366</f>
        <v>72.819599999999994</v>
      </c>
    </row>
    <row r="4" spans="1:17" x14ac:dyDescent="0.25">
      <c r="A4" s="3" t="s">
        <v>21</v>
      </c>
      <c r="B4" s="4" t="s">
        <v>22</v>
      </c>
      <c r="C4" s="12">
        <f>I4*3%+I4</f>
        <v>5.1190999999999995</v>
      </c>
      <c r="D4" s="4" t="s">
        <v>13</v>
      </c>
      <c r="E4" s="4" t="s">
        <v>23</v>
      </c>
      <c r="F4" s="4" t="s">
        <v>24</v>
      </c>
      <c r="G4" s="4" t="s">
        <v>25</v>
      </c>
      <c r="H4" s="4" t="s">
        <v>25</v>
      </c>
      <c r="I4" s="4">
        <v>4.97</v>
      </c>
      <c r="J4" s="4" t="s">
        <v>13</v>
      </c>
      <c r="K4" s="4" t="s">
        <v>18</v>
      </c>
      <c r="L4" t="s">
        <v>21</v>
      </c>
      <c r="M4" s="9">
        <f t="shared" si="0"/>
        <v>6.2128469059999993</v>
      </c>
      <c r="N4">
        <v>0</v>
      </c>
      <c r="O4" s="9">
        <v>0</v>
      </c>
      <c r="P4" s="9">
        <f t="shared" si="1"/>
        <v>-6.2128469059999993</v>
      </c>
      <c r="Q4" s="16">
        <f t="shared" si="2"/>
        <v>6.2128469059999993</v>
      </c>
    </row>
    <row r="5" spans="1:17" x14ac:dyDescent="0.25">
      <c r="A5" s="3" t="s">
        <v>26</v>
      </c>
      <c r="B5" s="4" t="s">
        <v>27</v>
      </c>
      <c r="C5" s="12">
        <f t="shared" ref="C5:C6" si="3">I5*3%+I5</f>
        <v>6.8083</v>
      </c>
      <c r="D5" s="4" t="s">
        <v>13</v>
      </c>
      <c r="E5" s="4" t="s">
        <v>23</v>
      </c>
      <c r="F5" s="4" t="s">
        <v>24</v>
      </c>
      <c r="G5" s="4" t="s">
        <v>25</v>
      </c>
      <c r="H5" s="4" t="s">
        <v>25</v>
      </c>
      <c r="I5" s="4">
        <v>6.61</v>
      </c>
      <c r="J5" s="4" t="s">
        <v>13</v>
      </c>
      <c r="K5" s="4" t="s">
        <v>18</v>
      </c>
      <c r="L5" t="s">
        <v>26</v>
      </c>
      <c r="M5" s="9">
        <f t="shared" si="0"/>
        <v>8.262961378</v>
      </c>
      <c r="N5">
        <v>0</v>
      </c>
      <c r="O5" s="9">
        <v>0</v>
      </c>
      <c r="P5" s="9">
        <f t="shared" si="1"/>
        <v>-8.262961378</v>
      </c>
      <c r="Q5" s="16">
        <f t="shared" si="2"/>
        <v>8.262961378</v>
      </c>
    </row>
    <row r="6" spans="1:17" x14ac:dyDescent="0.25">
      <c r="A6" s="3" t="s">
        <v>28</v>
      </c>
      <c r="B6" s="4" t="s">
        <v>29</v>
      </c>
      <c r="C6" s="12">
        <f t="shared" si="3"/>
        <v>10.691400000000002</v>
      </c>
      <c r="D6" s="4" t="s">
        <v>13</v>
      </c>
      <c r="E6" s="4" t="s">
        <v>23</v>
      </c>
      <c r="F6" s="4" t="s">
        <v>24</v>
      </c>
      <c r="G6" s="4" t="s">
        <v>25</v>
      </c>
      <c r="H6" s="4" t="s">
        <v>25</v>
      </c>
      <c r="I6" s="4">
        <v>10.38</v>
      </c>
      <c r="J6" s="4" t="s">
        <v>13</v>
      </c>
      <c r="K6" s="4" t="s">
        <v>18</v>
      </c>
      <c r="L6" t="s">
        <v>28</v>
      </c>
      <c r="M6" s="9">
        <f t="shared" si="0"/>
        <v>12.975724524000002</v>
      </c>
      <c r="N6">
        <v>0</v>
      </c>
      <c r="O6" s="9">
        <v>0</v>
      </c>
      <c r="P6" s="9">
        <f t="shared" si="1"/>
        <v>-12.975724524000002</v>
      </c>
      <c r="Q6" s="16">
        <f t="shared" si="2"/>
        <v>12.975724524000002</v>
      </c>
    </row>
    <row r="7" spans="1:17" x14ac:dyDescent="0.25">
      <c r="A7" s="3" t="s">
        <v>30</v>
      </c>
      <c r="B7" s="4" t="s">
        <v>31</v>
      </c>
      <c r="C7" s="12">
        <v>58</v>
      </c>
      <c r="D7" s="4" t="s">
        <v>32</v>
      </c>
      <c r="E7" s="4"/>
      <c r="F7" s="4" t="s">
        <v>33</v>
      </c>
      <c r="G7" s="4" t="s">
        <v>34</v>
      </c>
      <c r="H7" s="4" t="s">
        <v>35</v>
      </c>
      <c r="I7" s="4">
        <v>55.52</v>
      </c>
      <c r="J7" s="4" t="s">
        <v>32</v>
      </c>
      <c r="K7" s="4" t="s">
        <v>18</v>
      </c>
      <c r="L7" t="s">
        <v>30</v>
      </c>
      <c r="M7" s="9">
        <f t="shared" si="0"/>
        <v>70.39228</v>
      </c>
      <c r="N7">
        <v>0</v>
      </c>
      <c r="O7" s="9">
        <v>0</v>
      </c>
      <c r="P7" s="9">
        <f t="shared" si="1"/>
        <v>-70.39228</v>
      </c>
      <c r="Q7" s="16">
        <f t="shared" si="2"/>
        <v>70.39228</v>
      </c>
    </row>
    <row r="8" spans="1:17" x14ac:dyDescent="0.25">
      <c r="A8" s="3" t="s">
        <v>36</v>
      </c>
      <c r="B8" s="4" t="s">
        <v>37</v>
      </c>
      <c r="C8" s="12">
        <f>I8*3%+I8</f>
        <v>6.3860000000000001</v>
      </c>
      <c r="D8" s="4" t="s">
        <v>13</v>
      </c>
      <c r="E8" s="4" t="s">
        <v>23</v>
      </c>
      <c r="F8" s="4" t="s">
        <v>24</v>
      </c>
      <c r="G8" s="4" t="s">
        <v>25</v>
      </c>
      <c r="H8" s="4" t="s">
        <v>25</v>
      </c>
      <c r="I8" s="4">
        <v>6.2</v>
      </c>
      <c r="J8" s="4" t="s">
        <v>13</v>
      </c>
      <c r="K8" s="4" t="s">
        <v>18</v>
      </c>
      <c r="L8" t="s">
        <v>36</v>
      </c>
      <c r="M8" s="9">
        <f t="shared" si="0"/>
        <v>7.7504327599999998</v>
      </c>
      <c r="N8">
        <v>0</v>
      </c>
      <c r="O8" s="9">
        <v>0</v>
      </c>
      <c r="P8" s="9">
        <f t="shared" si="1"/>
        <v>-7.7504327599999998</v>
      </c>
      <c r="Q8" s="16">
        <f t="shared" si="2"/>
        <v>7.7504327599999998</v>
      </c>
    </row>
    <row r="9" spans="1:17" x14ac:dyDescent="0.25">
      <c r="A9" s="3" t="s">
        <v>38</v>
      </c>
      <c r="B9" s="4" t="s">
        <v>39</v>
      </c>
      <c r="C9" s="12">
        <f t="shared" ref="C9:C17" si="4">I9*3%+I9</f>
        <v>8.9506999999999994</v>
      </c>
      <c r="D9" s="4" t="s">
        <v>13</v>
      </c>
      <c r="E9" s="4" t="s">
        <v>23</v>
      </c>
      <c r="F9" s="4" t="s">
        <v>24</v>
      </c>
      <c r="G9" s="4" t="s">
        <v>25</v>
      </c>
      <c r="H9" s="4" t="s">
        <v>25</v>
      </c>
      <c r="I9" s="4">
        <v>8.69</v>
      </c>
      <c r="J9" s="4" t="s">
        <v>13</v>
      </c>
      <c r="K9" s="4" t="s">
        <v>18</v>
      </c>
      <c r="L9" t="s">
        <v>38</v>
      </c>
      <c r="M9" s="9">
        <f t="shared" si="0"/>
        <v>10.863106561999999</v>
      </c>
      <c r="N9">
        <v>0</v>
      </c>
      <c r="O9" s="9">
        <v>0</v>
      </c>
      <c r="P9" s="9">
        <f t="shared" si="1"/>
        <v>-10.863106561999999</v>
      </c>
      <c r="Q9" s="16">
        <f t="shared" si="2"/>
        <v>10.863106561999999</v>
      </c>
    </row>
    <row r="10" spans="1:17" x14ac:dyDescent="0.25">
      <c r="A10" s="3" t="s">
        <v>40</v>
      </c>
      <c r="B10" s="4" t="s">
        <v>41</v>
      </c>
      <c r="C10" s="12">
        <f t="shared" si="4"/>
        <v>10.475099999999999</v>
      </c>
      <c r="D10" s="4" t="s">
        <v>13</v>
      </c>
      <c r="E10" s="4" t="s">
        <v>23</v>
      </c>
      <c r="F10" s="4" t="s">
        <v>24</v>
      </c>
      <c r="G10" s="4" t="s">
        <v>25</v>
      </c>
      <c r="H10" s="4" t="s">
        <v>25</v>
      </c>
      <c r="I10" s="4">
        <v>10.17</v>
      </c>
      <c r="J10" s="4" t="s">
        <v>13</v>
      </c>
      <c r="K10" s="4" t="s">
        <v>18</v>
      </c>
      <c r="L10" t="s">
        <v>40</v>
      </c>
      <c r="M10" s="9">
        <f t="shared" si="0"/>
        <v>12.713209866</v>
      </c>
      <c r="N10">
        <v>0</v>
      </c>
      <c r="O10" s="9">
        <v>0</v>
      </c>
      <c r="P10" s="9">
        <f t="shared" si="1"/>
        <v>-12.713209866</v>
      </c>
      <c r="Q10" s="16">
        <f t="shared" si="2"/>
        <v>12.713209866</v>
      </c>
    </row>
    <row r="11" spans="1:17" x14ac:dyDescent="0.25">
      <c r="A11" s="3" t="s">
        <v>42</v>
      </c>
      <c r="B11" s="4" t="s">
        <v>43</v>
      </c>
      <c r="C11" s="12">
        <f t="shared" si="4"/>
        <v>48.667499999999997</v>
      </c>
      <c r="D11" s="4" t="s">
        <v>13</v>
      </c>
      <c r="E11" s="4" t="s">
        <v>14</v>
      </c>
      <c r="F11" s="4" t="s">
        <v>44</v>
      </c>
      <c r="G11" s="4" t="s">
        <v>45</v>
      </c>
      <c r="H11" s="4" t="s">
        <v>46</v>
      </c>
      <c r="I11" s="4">
        <v>47.25</v>
      </c>
      <c r="J11" s="4" t="s">
        <v>13</v>
      </c>
      <c r="K11" s="4" t="s">
        <v>18</v>
      </c>
      <c r="L11" t="s">
        <v>42</v>
      </c>
      <c r="M11" s="9">
        <f t="shared" si="0"/>
        <v>59.065798049999991</v>
      </c>
      <c r="N11">
        <v>0</v>
      </c>
      <c r="O11" s="9">
        <v>0</v>
      </c>
      <c r="P11" s="9">
        <f t="shared" si="1"/>
        <v>-59.065798049999991</v>
      </c>
      <c r="Q11" s="16">
        <f t="shared" si="2"/>
        <v>59.065798049999991</v>
      </c>
    </row>
    <row r="12" spans="1:17" x14ac:dyDescent="0.25">
      <c r="A12" s="3" t="s">
        <v>47</v>
      </c>
      <c r="B12" s="4" t="s">
        <v>48</v>
      </c>
      <c r="C12" s="12">
        <f t="shared" si="4"/>
        <v>5.4074999999999998</v>
      </c>
      <c r="D12" s="4" t="s">
        <v>32</v>
      </c>
      <c r="E12" s="4" t="s">
        <v>23</v>
      </c>
      <c r="F12" s="4" t="s">
        <v>49</v>
      </c>
      <c r="G12" s="4" t="s">
        <v>50</v>
      </c>
      <c r="H12" s="4" t="s">
        <v>51</v>
      </c>
      <c r="I12" s="4">
        <v>5.25</v>
      </c>
      <c r="J12" s="4" t="s">
        <v>32</v>
      </c>
      <c r="K12" s="4" t="s">
        <v>18</v>
      </c>
      <c r="L12" t="s">
        <v>47</v>
      </c>
      <c r="M12" s="9">
        <f t="shared" si="0"/>
        <v>6.5628664499999996</v>
      </c>
      <c r="N12" t="s">
        <v>47</v>
      </c>
      <c r="O12" s="9">
        <v>6.5610999999999997</v>
      </c>
      <c r="P12" s="9">
        <f t="shared" si="1"/>
        <v>-1.766449999999864E-3</v>
      </c>
      <c r="Q12" s="16">
        <f t="shared" si="2"/>
        <v>6.5628664499999996</v>
      </c>
    </row>
    <row r="13" spans="1:17" x14ac:dyDescent="0.25">
      <c r="A13" s="3" t="s">
        <v>52</v>
      </c>
      <c r="B13" s="4" t="s">
        <v>53</v>
      </c>
      <c r="C13" s="12">
        <f t="shared" si="4"/>
        <v>5.4074999999999998</v>
      </c>
      <c r="D13" s="4" t="s">
        <v>32</v>
      </c>
      <c r="E13" s="4" t="s">
        <v>23</v>
      </c>
      <c r="F13" s="4" t="s">
        <v>49</v>
      </c>
      <c r="G13" s="4" t="s">
        <v>50</v>
      </c>
      <c r="H13" s="4" t="s">
        <v>51</v>
      </c>
      <c r="I13" s="4">
        <v>5.25</v>
      </c>
      <c r="J13" s="4" t="s">
        <v>32</v>
      </c>
      <c r="K13" s="4" t="s">
        <v>18</v>
      </c>
      <c r="L13" t="s">
        <v>52</v>
      </c>
      <c r="M13" s="9">
        <f t="shared" si="0"/>
        <v>6.5628664499999996</v>
      </c>
      <c r="N13" t="s">
        <v>52</v>
      </c>
      <c r="O13" s="9">
        <v>6.5610999999999997</v>
      </c>
      <c r="P13" s="9">
        <f t="shared" si="1"/>
        <v>-1.766449999999864E-3</v>
      </c>
      <c r="Q13" s="16">
        <f t="shared" si="2"/>
        <v>6.5628664499999996</v>
      </c>
    </row>
    <row r="14" spans="1:17" x14ac:dyDescent="0.25">
      <c r="A14" s="3" t="s">
        <v>54</v>
      </c>
      <c r="B14" s="4" t="s">
        <v>55</v>
      </c>
      <c r="C14" s="12">
        <f t="shared" si="4"/>
        <v>5.4074999999999998</v>
      </c>
      <c r="D14" s="4" t="s">
        <v>32</v>
      </c>
      <c r="E14" s="4" t="s">
        <v>23</v>
      </c>
      <c r="F14" s="4" t="s">
        <v>49</v>
      </c>
      <c r="G14" s="4" t="s">
        <v>50</v>
      </c>
      <c r="H14" s="4" t="s">
        <v>51</v>
      </c>
      <c r="I14" s="4">
        <v>5.25</v>
      </c>
      <c r="J14" s="4" t="s">
        <v>32</v>
      </c>
      <c r="K14" s="4" t="s">
        <v>18</v>
      </c>
      <c r="L14" t="s">
        <v>54</v>
      </c>
      <c r="M14" s="9">
        <f t="shared" si="0"/>
        <v>6.5628664499999996</v>
      </c>
      <c r="N14" t="s">
        <v>54</v>
      </c>
      <c r="O14" s="9">
        <v>6.5610999999999997</v>
      </c>
      <c r="P14" s="9">
        <f t="shared" si="1"/>
        <v>-1.766449999999864E-3</v>
      </c>
      <c r="Q14" s="16">
        <f t="shared" si="2"/>
        <v>6.5628664499999996</v>
      </c>
    </row>
    <row r="15" spans="1:17" x14ac:dyDescent="0.25">
      <c r="A15" s="3" t="s">
        <v>56</v>
      </c>
      <c r="B15" s="4" t="s">
        <v>57</v>
      </c>
      <c r="C15" s="12">
        <f t="shared" si="4"/>
        <v>244.11</v>
      </c>
      <c r="D15" s="4" t="s">
        <v>32</v>
      </c>
      <c r="E15" s="4" t="s">
        <v>14</v>
      </c>
      <c r="F15" s="4" t="s">
        <v>44</v>
      </c>
      <c r="G15" s="4" t="s">
        <v>45</v>
      </c>
      <c r="H15" s="4" t="s">
        <v>46</v>
      </c>
      <c r="I15" s="4">
        <v>237</v>
      </c>
      <c r="J15" s="4" t="s">
        <v>32</v>
      </c>
      <c r="K15" s="4" t="s">
        <v>18</v>
      </c>
      <c r="L15" t="s">
        <v>56</v>
      </c>
      <c r="M15" s="9">
        <f t="shared" si="0"/>
        <v>296.26654259999998</v>
      </c>
      <c r="N15">
        <v>0</v>
      </c>
      <c r="O15" s="9">
        <v>0</v>
      </c>
      <c r="P15" s="9">
        <f t="shared" si="1"/>
        <v>-296.26654259999998</v>
      </c>
      <c r="Q15" s="16">
        <f t="shared" si="2"/>
        <v>296.26654259999998</v>
      </c>
    </row>
    <row r="16" spans="1:17" x14ac:dyDescent="0.25">
      <c r="A16" s="3" t="s">
        <v>58</v>
      </c>
      <c r="B16" s="4" t="s">
        <v>59</v>
      </c>
      <c r="C16" s="12">
        <f t="shared" si="4"/>
        <v>284.78469999999999</v>
      </c>
      <c r="D16" s="4" t="s">
        <v>32</v>
      </c>
      <c r="E16" s="4" t="s">
        <v>14</v>
      </c>
      <c r="F16" s="4" t="s">
        <v>44</v>
      </c>
      <c r="G16" s="4" t="s">
        <v>45</v>
      </c>
      <c r="H16" s="4" t="s">
        <v>46</v>
      </c>
      <c r="I16" s="4">
        <v>276.49</v>
      </c>
      <c r="J16" s="4" t="s">
        <v>32</v>
      </c>
      <c r="K16" s="4" t="s">
        <v>18</v>
      </c>
      <c r="L16" t="s">
        <v>58</v>
      </c>
      <c r="M16" s="9">
        <f t="shared" si="0"/>
        <v>345.63179900199998</v>
      </c>
      <c r="N16">
        <v>0</v>
      </c>
      <c r="O16" s="9">
        <v>0</v>
      </c>
      <c r="P16" s="9">
        <f t="shared" si="1"/>
        <v>-345.63179900199998</v>
      </c>
      <c r="Q16" s="16">
        <f t="shared" si="2"/>
        <v>345.63179900199998</v>
      </c>
    </row>
    <row r="17" spans="1:17" x14ac:dyDescent="0.25">
      <c r="A17" s="3" t="s">
        <v>60</v>
      </c>
      <c r="B17" s="4" t="s">
        <v>61</v>
      </c>
      <c r="C17" s="12">
        <f t="shared" si="4"/>
        <v>325.48</v>
      </c>
      <c r="D17" s="4" t="s">
        <v>32</v>
      </c>
      <c r="E17" s="4" t="s">
        <v>14</v>
      </c>
      <c r="F17" s="4" t="s">
        <v>44</v>
      </c>
      <c r="G17" s="4" t="s">
        <v>45</v>
      </c>
      <c r="H17" s="4" t="s">
        <v>46</v>
      </c>
      <c r="I17" s="4">
        <v>316</v>
      </c>
      <c r="J17" s="4" t="s">
        <v>32</v>
      </c>
      <c r="K17" s="4" t="s">
        <v>18</v>
      </c>
      <c r="L17" t="s">
        <v>60</v>
      </c>
      <c r="M17" s="9">
        <f t="shared" si="0"/>
        <v>395.02205680000003</v>
      </c>
      <c r="N17">
        <v>0</v>
      </c>
      <c r="O17" s="9">
        <v>0</v>
      </c>
      <c r="P17" s="9">
        <f t="shared" si="1"/>
        <v>-395.02205680000003</v>
      </c>
      <c r="Q17" s="16">
        <f t="shared" si="2"/>
        <v>395.02205680000003</v>
      </c>
    </row>
    <row r="18" spans="1:17" x14ac:dyDescent="0.25">
      <c r="A18" s="3" t="s">
        <v>62</v>
      </c>
      <c r="B18" s="4" t="s">
        <v>63</v>
      </c>
      <c r="C18" s="12">
        <v>67</v>
      </c>
      <c r="D18" s="4" t="s">
        <v>32</v>
      </c>
      <c r="E18" s="4"/>
      <c r="F18" s="4" t="s">
        <v>33</v>
      </c>
      <c r="G18" s="4" t="s">
        <v>34</v>
      </c>
      <c r="H18" s="4" t="s">
        <v>35</v>
      </c>
      <c r="I18" s="4">
        <v>84.44</v>
      </c>
      <c r="J18" s="4" t="s">
        <v>32</v>
      </c>
      <c r="K18" s="4" t="s">
        <v>18</v>
      </c>
      <c r="L18" t="s">
        <v>62</v>
      </c>
      <c r="M18" s="9">
        <f t="shared" si="0"/>
        <v>81.315219999999997</v>
      </c>
      <c r="N18">
        <v>0</v>
      </c>
      <c r="O18" s="9">
        <v>0</v>
      </c>
      <c r="P18" s="9">
        <f t="shared" si="1"/>
        <v>-81.315219999999997</v>
      </c>
      <c r="Q18" s="16">
        <f t="shared" si="2"/>
        <v>81.315219999999997</v>
      </c>
    </row>
    <row r="19" spans="1:17" x14ac:dyDescent="0.25">
      <c r="A19" s="3" t="s">
        <v>64</v>
      </c>
      <c r="B19" s="4" t="s">
        <v>65</v>
      </c>
      <c r="C19" s="12">
        <f>I19*3%+I19</f>
        <v>19.044699999999999</v>
      </c>
      <c r="D19" s="4" t="s">
        <v>13</v>
      </c>
      <c r="E19" s="4" t="s">
        <v>23</v>
      </c>
      <c r="F19" s="4" t="s">
        <v>24</v>
      </c>
      <c r="G19" s="4" t="s">
        <v>25</v>
      </c>
      <c r="H19" s="4" t="s">
        <v>25</v>
      </c>
      <c r="I19" s="4">
        <v>18.489999999999998</v>
      </c>
      <c r="J19" s="4" t="s">
        <v>13</v>
      </c>
      <c r="K19" s="4" t="s">
        <v>18</v>
      </c>
      <c r="L19" t="s">
        <v>64</v>
      </c>
      <c r="M19" s="9">
        <f t="shared" si="0"/>
        <v>23.113790601999998</v>
      </c>
      <c r="N19">
        <v>0</v>
      </c>
      <c r="O19" s="9">
        <v>0</v>
      </c>
      <c r="P19" s="9">
        <f t="shared" si="1"/>
        <v>-23.113790601999998</v>
      </c>
      <c r="Q19" s="16">
        <f t="shared" si="2"/>
        <v>23.113790601999998</v>
      </c>
    </row>
    <row r="20" spans="1:17" x14ac:dyDescent="0.25">
      <c r="A20" s="3" t="s">
        <v>66</v>
      </c>
      <c r="B20" s="4" t="s">
        <v>67</v>
      </c>
      <c r="C20" s="12">
        <v>76</v>
      </c>
      <c r="D20" s="4" t="s">
        <v>32</v>
      </c>
      <c r="E20" s="4"/>
      <c r="F20" s="4" t="s">
        <v>33</v>
      </c>
      <c r="G20" s="4" t="s">
        <v>34</v>
      </c>
      <c r="H20" s="4" t="s">
        <v>35</v>
      </c>
      <c r="I20" s="4">
        <v>59.02</v>
      </c>
      <c r="J20" s="4" t="s">
        <v>32</v>
      </c>
      <c r="K20" s="4" t="s">
        <v>18</v>
      </c>
      <c r="L20" t="s">
        <v>66</v>
      </c>
      <c r="M20" s="9">
        <f t="shared" si="0"/>
        <v>92.238159999999993</v>
      </c>
      <c r="N20">
        <v>0</v>
      </c>
      <c r="O20" s="9">
        <v>0</v>
      </c>
      <c r="P20" s="9">
        <f t="shared" si="1"/>
        <v>-92.238159999999993</v>
      </c>
      <c r="Q20" s="16">
        <f t="shared" si="2"/>
        <v>92.238159999999993</v>
      </c>
    </row>
    <row r="21" spans="1:17" x14ac:dyDescent="0.25">
      <c r="A21" s="3" t="s">
        <v>68</v>
      </c>
      <c r="B21" s="4" t="s">
        <v>69</v>
      </c>
      <c r="C21" s="12">
        <v>89</v>
      </c>
      <c r="D21" s="4" t="s">
        <v>32</v>
      </c>
      <c r="E21" s="4"/>
      <c r="F21" s="4" t="s">
        <v>33</v>
      </c>
      <c r="G21" s="4" t="s">
        <v>34</v>
      </c>
      <c r="H21" s="4" t="s">
        <v>35</v>
      </c>
      <c r="I21" s="4">
        <v>67.739999999999995</v>
      </c>
      <c r="J21" s="4" t="s">
        <v>32</v>
      </c>
      <c r="K21" s="4" t="s">
        <v>18</v>
      </c>
      <c r="L21" t="s">
        <v>68</v>
      </c>
      <c r="M21" s="9">
        <f t="shared" si="0"/>
        <v>108.01573999999999</v>
      </c>
      <c r="N21">
        <v>0</v>
      </c>
      <c r="O21" s="9">
        <v>0</v>
      </c>
      <c r="P21" s="9">
        <f t="shared" si="1"/>
        <v>-108.01573999999999</v>
      </c>
      <c r="Q21" s="16">
        <f t="shared" si="2"/>
        <v>108.01573999999999</v>
      </c>
    </row>
    <row r="22" spans="1:17" x14ac:dyDescent="0.25">
      <c r="A22" s="3" t="s">
        <v>70</v>
      </c>
      <c r="B22" s="4" t="s">
        <v>71</v>
      </c>
      <c r="C22" s="12">
        <f>I22*3%+I22</f>
        <v>60.564</v>
      </c>
      <c r="D22" s="4" t="s">
        <v>13</v>
      </c>
      <c r="E22" s="4" t="s">
        <v>14</v>
      </c>
      <c r="F22" s="4" t="s">
        <v>15</v>
      </c>
      <c r="G22" s="4" t="s">
        <v>16</v>
      </c>
      <c r="H22" s="4" t="s">
        <v>17</v>
      </c>
      <c r="I22" s="4">
        <v>58.8</v>
      </c>
      <c r="J22" s="4" t="s">
        <v>13</v>
      </c>
      <c r="K22" s="4" t="s">
        <v>18</v>
      </c>
      <c r="L22" t="s">
        <v>70</v>
      </c>
      <c r="M22" s="9">
        <f t="shared" si="0"/>
        <v>73.504104240000004</v>
      </c>
      <c r="N22">
        <v>0</v>
      </c>
      <c r="O22" s="9">
        <v>0</v>
      </c>
      <c r="P22" s="9">
        <f t="shared" si="1"/>
        <v>-73.504104240000004</v>
      </c>
      <c r="Q22" s="16">
        <f t="shared" si="2"/>
        <v>73.504104240000004</v>
      </c>
    </row>
    <row r="23" spans="1:17" x14ac:dyDescent="0.25">
      <c r="A23" s="3" t="s">
        <v>72</v>
      </c>
      <c r="B23" s="4" t="s">
        <v>73</v>
      </c>
      <c r="C23" s="12">
        <f t="shared" ref="C23:C31" si="5">I23*3%+I23</f>
        <v>16.7684</v>
      </c>
      <c r="D23" s="4" t="s">
        <v>13</v>
      </c>
      <c r="E23" s="4" t="s">
        <v>23</v>
      </c>
      <c r="F23" s="4" t="s">
        <v>49</v>
      </c>
      <c r="G23" s="4" t="s">
        <v>50</v>
      </c>
      <c r="H23" s="4" t="s">
        <v>50</v>
      </c>
      <c r="I23" s="4">
        <v>16.28</v>
      </c>
      <c r="J23" s="4" t="s">
        <v>13</v>
      </c>
      <c r="K23" s="4" t="s">
        <v>18</v>
      </c>
      <c r="L23" t="s">
        <v>72</v>
      </c>
      <c r="M23" s="9">
        <f t="shared" si="0"/>
        <v>20.351136344</v>
      </c>
      <c r="N23" t="s">
        <v>72</v>
      </c>
      <c r="O23" s="9">
        <v>20.352799999999998</v>
      </c>
      <c r="P23" s="9">
        <f t="shared" si="1"/>
        <v>1.6636559999980705E-3</v>
      </c>
      <c r="Q23" s="16">
        <f t="shared" si="2"/>
        <v>20.351136344</v>
      </c>
    </row>
    <row r="24" spans="1:17" x14ac:dyDescent="0.25">
      <c r="A24" s="3" t="s">
        <v>74</v>
      </c>
      <c r="B24" s="4" t="s">
        <v>75</v>
      </c>
      <c r="C24" s="12">
        <f t="shared" si="5"/>
        <v>0.90639999999999998</v>
      </c>
      <c r="D24" s="4" t="s">
        <v>13</v>
      </c>
      <c r="E24" s="4" t="s">
        <v>14</v>
      </c>
      <c r="F24" s="4" t="s">
        <v>33</v>
      </c>
      <c r="G24" s="4" t="s">
        <v>34</v>
      </c>
      <c r="H24" s="4" t="s">
        <v>76</v>
      </c>
      <c r="I24" s="4">
        <v>0.88</v>
      </c>
      <c r="J24" s="4" t="s">
        <v>13</v>
      </c>
      <c r="K24" s="4" t="s">
        <v>18</v>
      </c>
      <c r="L24" t="s">
        <v>74</v>
      </c>
      <c r="M24" s="9">
        <f t="shared" si="0"/>
        <v>1.100061424</v>
      </c>
      <c r="N24">
        <v>0</v>
      </c>
      <c r="O24" s="9">
        <v>0</v>
      </c>
      <c r="P24" s="9">
        <f t="shared" si="1"/>
        <v>-1.100061424</v>
      </c>
      <c r="Q24" s="16">
        <f t="shared" si="2"/>
        <v>1.100061424</v>
      </c>
    </row>
    <row r="25" spans="1:17" x14ac:dyDescent="0.25">
      <c r="A25" s="3" t="s">
        <v>77</v>
      </c>
      <c r="B25" s="4" t="s">
        <v>78</v>
      </c>
      <c r="C25" s="12">
        <f t="shared" si="5"/>
        <v>12.267300000000001</v>
      </c>
      <c r="D25" s="4" t="s">
        <v>13</v>
      </c>
      <c r="E25" s="4" t="s">
        <v>23</v>
      </c>
      <c r="F25" s="4" t="s">
        <v>24</v>
      </c>
      <c r="G25" s="4" t="s">
        <v>25</v>
      </c>
      <c r="H25" s="4" t="s">
        <v>25</v>
      </c>
      <c r="I25" s="4">
        <v>11.91</v>
      </c>
      <c r="J25" s="4" t="s">
        <v>13</v>
      </c>
      <c r="K25" s="4" t="s">
        <v>18</v>
      </c>
      <c r="L25" t="s">
        <v>77</v>
      </c>
      <c r="M25" s="9">
        <f t="shared" si="0"/>
        <v>14.888331318000001</v>
      </c>
      <c r="N25">
        <v>0</v>
      </c>
      <c r="O25" s="9">
        <v>0</v>
      </c>
      <c r="P25" s="9">
        <f t="shared" si="1"/>
        <v>-14.888331318000001</v>
      </c>
      <c r="Q25" s="16">
        <f t="shared" si="2"/>
        <v>14.888331318000001</v>
      </c>
    </row>
    <row r="26" spans="1:17" x14ac:dyDescent="0.25">
      <c r="A26" s="3" t="s">
        <v>79</v>
      </c>
      <c r="B26" s="4" t="s">
        <v>80</v>
      </c>
      <c r="C26" s="12">
        <f t="shared" si="5"/>
        <v>14.9453</v>
      </c>
      <c r="D26" s="4" t="s">
        <v>13</v>
      </c>
      <c r="E26" s="4" t="s">
        <v>23</v>
      </c>
      <c r="F26" s="4" t="s">
        <v>24</v>
      </c>
      <c r="G26" s="4" t="s">
        <v>25</v>
      </c>
      <c r="H26" s="4" t="s">
        <v>25</v>
      </c>
      <c r="I26" s="4">
        <v>14.51</v>
      </c>
      <c r="J26" s="4" t="s">
        <v>13</v>
      </c>
      <c r="K26" s="4" t="s">
        <v>18</v>
      </c>
      <c r="L26" t="s">
        <v>79</v>
      </c>
      <c r="M26" s="9">
        <f t="shared" si="0"/>
        <v>18.138512797999997</v>
      </c>
      <c r="N26">
        <v>0</v>
      </c>
      <c r="O26" s="9">
        <v>0</v>
      </c>
      <c r="P26" s="9">
        <f t="shared" si="1"/>
        <v>-18.138512797999997</v>
      </c>
      <c r="Q26" s="16">
        <f t="shared" si="2"/>
        <v>18.138512797999997</v>
      </c>
    </row>
    <row r="27" spans="1:17" x14ac:dyDescent="0.25">
      <c r="A27" s="3" t="s">
        <v>81</v>
      </c>
      <c r="B27" s="4" t="s">
        <v>82</v>
      </c>
      <c r="C27" s="12">
        <f t="shared" si="5"/>
        <v>5.4074999999999998</v>
      </c>
      <c r="D27" s="4" t="s">
        <v>13</v>
      </c>
      <c r="E27" s="4" t="s">
        <v>14</v>
      </c>
      <c r="F27" s="4" t="s">
        <v>44</v>
      </c>
      <c r="G27" s="4" t="s">
        <v>45</v>
      </c>
      <c r="H27" s="4" t="s">
        <v>46</v>
      </c>
      <c r="I27" s="4">
        <v>5.25</v>
      </c>
      <c r="J27" s="4" t="s">
        <v>13</v>
      </c>
      <c r="K27" s="4" t="s">
        <v>18</v>
      </c>
      <c r="L27" t="s">
        <v>81</v>
      </c>
      <c r="M27" s="9">
        <f t="shared" si="0"/>
        <v>6.5628664499999996</v>
      </c>
      <c r="N27" t="s">
        <v>81</v>
      </c>
      <c r="O27" s="9">
        <v>6.5610999999999997</v>
      </c>
      <c r="P27" s="9">
        <f t="shared" si="1"/>
        <v>-1.766449999999864E-3</v>
      </c>
      <c r="Q27" s="16">
        <f t="shared" si="2"/>
        <v>6.5628664499999996</v>
      </c>
    </row>
    <row r="28" spans="1:17" x14ac:dyDescent="0.25">
      <c r="A28" s="3" t="s">
        <v>83</v>
      </c>
      <c r="B28" s="4" t="s">
        <v>84</v>
      </c>
      <c r="C28" s="12">
        <f t="shared" si="5"/>
        <v>14.7393</v>
      </c>
      <c r="D28" s="4" t="s">
        <v>13</v>
      </c>
      <c r="E28" s="4" t="s">
        <v>14</v>
      </c>
      <c r="F28" s="4" t="s">
        <v>44</v>
      </c>
      <c r="G28" s="4" t="s">
        <v>45</v>
      </c>
      <c r="H28" s="4" t="s">
        <v>46</v>
      </c>
      <c r="I28" s="4">
        <v>14.31</v>
      </c>
      <c r="J28" s="4" t="s">
        <v>13</v>
      </c>
      <c r="K28" s="4" t="s">
        <v>18</v>
      </c>
      <c r="L28" t="s">
        <v>83</v>
      </c>
      <c r="M28" s="9">
        <f t="shared" si="0"/>
        <v>17.888498838</v>
      </c>
      <c r="N28">
        <v>0</v>
      </c>
      <c r="O28" s="9">
        <v>0</v>
      </c>
      <c r="P28" s="9">
        <f t="shared" si="1"/>
        <v>-17.888498838</v>
      </c>
      <c r="Q28" s="16">
        <f t="shared" si="2"/>
        <v>17.888498838</v>
      </c>
    </row>
    <row r="29" spans="1:17" x14ac:dyDescent="0.25">
      <c r="A29" s="3" t="s">
        <v>85</v>
      </c>
      <c r="B29" s="4" t="s">
        <v>86</v>
      </c>
      <c r="C29" s="12">
        <f t="shared" si="5"/>
        <v>45.608400000000003</v>
      </c>
      <c r="D29" s="4" t="s">
        <v>13</v>
      </c>
      <c r="E29" s="4" t="s">
        <v>14</v>
      </c>
      <c r="F29" s="4" t="s">
        <v>44</v>
      </c>
      <c r="G29" s="4" t="s">
        <v>45</v>
      </c>
      <c r="H29" s="4" t="s">
        <v>46</v>
      </c>
      <c r="I29" s="4">
        <v>44.28</v>
      </c>
      <c r="J29" s="4" t="s">
        <v>87</v>
      </c>
      <c r="K29" s="4" t="s">
        <v>18</v>
      </c>
      <c r="L29" t="s">
        <v>85</v>
      </c>
      <c r="M29" s="9">
        <f t="shared" si="0"/>
        <v>55.353090743999999</v>
      </c>
      <c r="N29">
        <v>0</v>
      </c>
      <c r="O29" s="9">
        <v>0</v>
      </c>
      <c r="P29" s="9">
        <f t="shared" si="1"/>
        <v>-55.353090743999999</v>
      </c>
      <c r="Q29" s="16">
        <f t="shared" si="2"/>
        <v>55.353090743999999</v>
      </c>
    </row>
    <row r="30" spans="1:17" x14ac:dyDescent="0.25">
      <c r="A30" s="3" t="s">
        <v>88</v>
      </c>
      <c r="B30" s="4" t="s">
        <v>89</v>
      </c>
      <c r="C30" s="12">
        <f t="shared" si="5"/>
        <v>19.055</v>
      </c>
      <c r="D30" s="4" t="s">
        <v>13</v>
      </c>
      <c r="E30" s="4" t="s">
        <v>23</v>
      </c>
      <c r="F30" s="4" t="s">
        <v>24</v>
      </c>
      <c r="G30" s="4" t="s">
        <v>25</v>
      </c>
      <c r="H30" s="4" t="s">
        <v>25</v>
      </c>
      <c r="I30" s="4">
        <v>18.5</v>
      </c>
      <c r="J30" s="4" t="s">
        <v>13</v>
      </c>
      <c r="K30" s="4" t="s">
        <v>18</v>
      </c>
      <c r="L30" t="s">
        <v>88</v>
      </c>
      <c r="M30" s="9">
        <f t="shared" si="0"/>
        <v>23.126291299999998</v>
      </c>
      <c r="N30">
        <v>0</v>
      </c>
      <c r="O30" s="9">
        <v>0</v>
      </c>
      <c r="P30" s="9">
        <f t="shared" si="1"/>
        <v>-23.126291299999998</v>
      </c>
      <c r="Q30" s="16">
        <f t="shared" si="2"/>
        <v>23.126291299999998</v>
      </c>
    </row>
    <row r="31" spans="1:17" x14ac:dyDescent="0.25">
      <c r="A31" s="3" t="s">
        <v>90</v>
      </c>
      <c r="B31" s="4" t="s">
        <v>91</v>
      </c>
      <c r="C31" s="12">
        <f t="shared" si="5"/>
        <v>15.2028</v>
      </c>
      <c r="D31" s="4" t="s">
        <v>13</v>
      </c>
      <c r="E31" s="4" t="s">
        <v>23</v>
      </c>
      <c r="F31" s="4" t="s">
        <v>24</v>
      </c>
      <c r="G31" s="4" t="s">
        <v>25</v>
      </c>
      <c r="H31" s="4" t="s">
        <v>25</v>
      </c>
      <c r="I31" s="4">
        <v>14.76</v>
      </c>
      <c r="J31" s="4" t="s">
        <v>13</v>
      </c>
      <c r="K31" s="4" t="s">
        <v>18</v>
      </c>
      <c r="L31" t="s">
        <v>90</v>
      </c>
      <c r="M31" s="9">
        <f t="shared" si="0"/>
        <v>18.451030247999999</v>
      </c>
      <c r="N31">
        <v>0</v>
      </c>
      <c r="O31" s="9">
        <v>0</v>
      </c>
      <c r="P31" s="9">
        <f t="shared" si="1"/>
        <v>-18.451030247999999</v>
      </c>
      <c r="Q31" s="16">
        <f t="shared" si="2"/>
        <v>18.451030247999999</v>
      </c>
    </row>
    <row r="32" spans="1:17" x14ac:dyDescent="0.25">
      <c r="A32" s="3" t="s">
        <v>92</v>
      </c>
      <c r="B32" s="4" t="s">
        <v>93</v>
      </c>
      <c r="C32" s="12">
        <v>50</v>
      </c>
      <c r="D32" s="4" t="s">
        <v>32</v>
      </c>
      <c r="E32" s="4"/>
      <c r="F32" s="4" t="s">
        <v>33</v>
      </c>
      <c r="G32" s="4" t="s">
        <v>34</v>
      </c>
      <c r="H32" s="4" t="s">
        <v>35</v>
      </c>
      <c r="I32" s="4">
        <v>68.11</v>
      </c>
      <c r="J32" s="4" t="s">
        <v>32</v>
      </c>
      <c r="K32" s="4" t="s">
        <v>18</v>
      </c>
      <c r="L32" t="s">
        <v>92</v>
      </c>
      <c r="M32" s="9">
        <f t="shared" si="0"/>
        <v>60.683</v>
      </c>
      <c r="N32">
        <v>0</v>
      </c>
      <c r="O32" s="9">
        <v>0</v>
      </c>
      <c r="P32" s="9">
        <f t="shared" si="1"/>
        <v>-60.683</v>
      </c>
      <c r="Q32" s="16">
        <f t="shared" si="2"/>
        <v>60.683</v>
      </c>
    </row>
    <row r="33" spans="1:17" x14ac:dyDescent="0.25">
      <c r="A33" s="3" t="s">
        <v>94</v>
      </c>
      <c r="B33" s="4" t="s">
        <v>95</v>
      </c>
      <c r="C33" s="12">
        <f>I33*3%+I33</f>
        <v>12.5969</v>
      </c>
      <c r="D33" s="4" t="s">
        <v>13</v>
      </c>
      <c r="E33" s="4" t="s">
        <v>23</v>
      </c>
      <c r="F33" s="4" t="s">
        <v>24</v>
      </c>
      <c r="G33" s="4" t="s">
        <v>25</v>
      </c>
      <c r="H33" s="4" t="s">
        <v>25</v>
      </c>
      <c r="I33" s="4">
        <v>12.23</v>
      </c>
      <c r="J33" s="4" t="s">
        <v>13</v>
      </c>
      <c r="K33" s="4" t="s">
        <v>18</v>
      </c>
      <c r="L33" t="s">
        <v>94</v>
      </c>
      <c r="M33" s="9">
        <f t="shared" si="0"/>
        <v>15.288353654</v>
      </c>
      <c r="N33">
        <v>0</v>
      </c>
      <c r="O33" s="9">
        <v>0</v>
      </c>
      <c r="P33" s="9">
        <f t="shared" si="1"/>
        <v>-15.288353654</v>
      </c>
      <c r="Q33" s="16">
        <f t="shared" si="2"/>
        <v>15.288353654</v>
      </c>
    </row>
    <row r="34" spans="1:17" x14ac:dyDescent="0.25">
      <c r="A34" s="3" t="s">
        <v>96</v>
      </c>
      <c r="B34" s="4" t="s">
        <v>97</v>
      </c>
      <c r="C34" s="12">
        <f t="shared" ref="C34:C38" si="6">I34*3%+I34</f>
        <v>8.3739000000000008</v>
      </c>
      <c r="D34" s="4" t="s">
        <v>13</v>
      </c>
      <c r="E34" s="4" t="s">
        <v>14</v>
      </c>
      <c r="F34" s="4" t="s">
        <v>44</v>
      </c>
      <c r="G34" s="4" t="s">
        <v>45</v>
      </c>
      <c r="H34" s="4" t="s">
        <v>46</v>
      </c>
      <c r="I34" s="4">
        <v>8.1300000000000008</v>
      </c>
      <c r="J34" s="4" t="s">
        <v>13</v>
      </c>
      <c r="K34" s="4" t="s">
        <v>18</v>
      </c>
      <c r="L34" t="s">
        <v>96</v>
      </c>
      <c r="M34" s="9">
        <f t="shared" si="0"/>
        <v>10.163067474</v>
      </c>
      <c r="N34">
        <v>0</v>
      </c>
      <c r="O34" s="9">
        <v>0</v>
      </c>
      <c r="P34" s="9">
        <f t="shared" si="1"/>
        <v>-10.163067474</v>
      </c>
      <c r="Q34" s="16">
        <f t="shared" si="2"/>
        <v>10.163067474</v>
      </c>
    </row>
    <row r="35" spans="1:17" x14ac:dyDescent="0.25">
      <c r="A35" s="3" t="s">
        <v>98</v>
      </c>
      <c r="B35" s="4" t="s">
        <v>99</v>
      </c>
      <c r="C35" s="12">
        <f t="shared" si="6"/>
        <v>13.1325</v>
      </c>
      <c r="D35" s="4" t="s">
        <v>13</v>
      </c>
      <c r="E35" s="4" t="s">
        <v>14</v>
      </c>
      <c r="F35" s="4" t="s">
        <v>44</v>
      </c>
      <c r="G35" s="4" t="s">
        <v>45</v>
      </c>
      <c r="H35" s="4" t="s">
        <v>46</v>
      </c>
      <c r="I35" s="4">
        <v>12.75</v>
      </c>
      <c r="J35" s="4" t="s">
        <v>13</v>
      </c>
      <c r="K35" s="4" t="s">
        <v>18</v>
      </c>
      <c r="L35" t="s">
        <v>98</v>
      </c>
      <c r="M35" s="9">
        <f t="shared" si="0"/>
        <v>15.938389949999999</v>
      </c>
      <c r="N35">
        <v>0</v>
      </c>
      <c r="O35" s="9">
        <v>0</v>
      </c>
      <c r="P35" s="9">
        <f t="shared" si="1"/>
        <v>-15.938389949999999</v>
      </c>
      <c r="Q35" s="16">
        <f t="shared" si="2"/>
        <v>15.938389949999999</v>
      </c>
    </row>
    <row r="36" spans="1:17" x14ac:dyDescent="0.25">
      <c r="A36" s="3" t="s">
        <v>100</v>
      </c>
      <c r="B36" s="4" t="s">
        <v>101</v>
      </c>
      <c r="C36" s="12">
        <f t="shared" si="6"/>
        <v>11.700799999999999</v>
      </c>
      <c r="D36" s="4" t="s">
        <v>13</v>
      </c>
      <c r="E36" s="4" t="s">
        <v>23</v>
      </c>
      <c r="F36" s="4" t="s">
        <v>24</v>
      </c>
      <c r="G36" s="4" t="s">
        <v>25</v>
      </c>
      <c r="H36" s="4" t="s">
        <v>25</v>
      </c>
      <c r="I36" s="4">
        <v>11.36</v>
      </c>
      <c r="J36" s="4" t="s">
        <v>13</v>
      </c>
      <c r="K36" s="4" t="s">
        <v>18</v>
      </c>
      <c r="L36" t="s">
        <v>100</v>
      </c>
      <c r="M36" s="9">
        <f t="shared" si="0"/>
        <v>14.200792927999998</v>
      </c>
      <c r="N36">
        <v>0</v>
      </c>
      <c r="O36" s="9">
        <v>0</v>
      </c>
      <c r="P36" s="9">
        <f t="shared" si="1"/>
        <v>-14.200792927999998</v>
      </c>
      <c r="Q36" s="16">
        <f t="shared" si="2"/>
        <v>14.200792927999998</v>
      </c>
    </row>
    <row r="37" spans="1:17" x14ac:dyDescent="0.25">
      <c r="A37" s="3" t="s">
        <v>102</v>
      </c>
      <c r="B37" s="4" t="s">
        <v>103</v>
      </c>
      <c r="C37" s="12">
        <f t="shared" si="6"/>
        <v>10.9283</v>
      </c>
      <c r="D37" s="4" t="s">
        <v>13</v>
      </c>
      <c r="E37" s="4" t="s">
        <v>14</v>
      </c>
      <c r="F37" s="4" t="s">
        <v>44</v>
      </c>
      <c r="G37" s="4" t="s">
        <v>45</v>
      </c>
      <c r="H37" s="4" t="s">
        <v>46</v>
      </c>
      <c r="I37" s="4">
        <v>10.61</v>
      </c>
      <c r="J37" s="4" t="s">
        <v>13</v>
      </c>
      <c r="K37" s="4" t="s">
        <v>18</v>
      </c>
      <c r="L37" t="s">
        <v>102</v>
      </c>
      <c r="M37" s="9">
        <f t="shared" si="0"/>
        <v>13.263240578</v>
      </c>
      <c r="N37">
        <v>0</v>
      </c>
      <c r="O37" s="9">
        <v>0</v>
      </c>
      <c r="P37" s="9">
        <f t="shared" si="1"/>
        <v>-13.263240578</v>
      </c>
      <c r="Q37" s="16">
        <f t="shared" si="2"/>
        <v>13.263240578</v>
      </c>
    </row>
    <row r="38" spans="1:17" x14ac:dyDescent="0.25">
      <c r="A38" s="3" t="s">
        <v>104</v>
      </c>
      <c r="B38" s="4" t="s">
        <v>105</v>
      </c>
      <c r="C38" s="12">
        <f t="shared" si="6"/>
        <v>76.395099999999999</v>
      </c>
      <c r="D38" s="4" t="s">
        <v>13</v>
      </c>
      <c r="E38" s="4" t="s">
        <v>14</v>
      </c>
      <c r="F38" s="4" t="s">
        <v>44</v>
      </c>
      <c r="G38" s="4" t="s">
        <v>45</v>
      </c>
      <c r="H38" s="4" t="s">
        <v>46</v>
      </c>
      <c r="I38" s="4">
        <v>74.17</v>
      </c>
      <c r="J38" s="4" t="s">
        <v>87</v>
      </c>
      <c r="K38" s="4" t="s">
        <v>18</v>
      </c>
      <c r="L38" t="s">
        <v>104</v>
      </c>
      <c r="M38" s="9">
        <f t="shared" si="0"/>
        <v>92.717677065999993</v>
      </c>
      <c r="N38">
        <v>0</v>
      </c>
      <c r="O38" s="9">
        <v>0</v>
      </c>
      <c r="P38" s="9">
        <f t="shared" si="1"/>
        <v>-92.717677065999993</v>
      </c>
      <c r="Q38" s="16">
        <f t="shared" si="2"/>
        <v>92.717677065999993</v>
      </c>
    </row>
    <row r="39" spans="1:17" x14ac:dyDescent="0.25">
      <c r="A39" s="3" t="s">
        <v>106</v>
      </c>
      <c r="B39" s="4" t="s">
        <v>107</v>
      </c>
      <c r="C39" s="12">
        <v>55</v>
      </c>
      <c r="D39" s="4" t="s">
        <v>32</v>
      </c>
      <c r="E39" s="4"/>
      <c r="F39" s="4" t="s">
        <v>33</v>
      </c>
      <c r="G39" s="4" t="s">
        <v>34</v>
      </c>
      <c r="H39" s="4" t="s">
        <v>35</v>
      </c>
      <c r="I39" s="4">
        <v>51.66</v>
      </c>
      <c r="J39" s="4" t="s">
        <v>32</v>
      </c>
      <c r="K39" s="4" t="s">
        <v>18</v>
      </c>
      <c r="L39" t="s">
        <v>106</v>
      </c>
      <c r="M39" s="9">
        <f t="shared" si="0"/>
        <v>66.751300000000001</v>
      </c>
      <c r="N39">
        <v>0</v>
      </c>
      <c r="O39" s="9">
        <v>0</v>
      </c>
      <c r="P39" s="9">
        <f t="shared" si="1"/>
        <v>-66.751300000000001</v>
      </c>
      <c r="Q39" s="16">
        <f t="shared" si="2"/>
        <v>66.751300000000001</v>
      </c>
    </row>
    <row r="40" spans="1:17" x14ac:dyDescent="0.25">
      <c r="A40" s="3" t="s">
        <v>108</v>
      </c>
      <c r="B40" s="4" t="s">
        <v>109</v>
      </c>
      <c r="C40" s="12">
        <f>I40*3%+I40</f>
        <v>130.93360000000001</v>
      </c>
      <c r="D40" s="4" t="s">
        <v>13</v>
      </c>
      <c r="E40" s="4" t="s">
        <v>23</v>
      </c>
      <c r="F40" s="4" t="s">
        <v>49</v>
      </c>
      <c r="G40" s="4" t="s">
        <v>50</v>
      </c>
      <c r="H40" s="4" t="s">
        <v>50</v>
      </c>
      <c r="I40" s="4">
        <v>127.12</v>
      </c>
      <c r="J40" s="4" t="s">
        <v>13</v>
      </c>
      <c r="K40" s="4" t="s">
        <v>18</v>
      </c>
      <c r="L40" t="s">
        <v>108</v>
      </c>
      <c r="M40" s="9">
        <f t="shared" si="0"/>
        <v>158.908872976</v>
      </c>
      <c r="N40">
        <v>0</v>
      </c>
      <c r="O40" s="9">
        <v>0</v>
      </c>
      <c r="P40" s="9">
        <f t="shared" si="1"/>
        <v>-158.908872976</v>
      </c>
      <c r="Q40" s="16">
        <f t="shared" si="2"/>
        <v>158.908872976</v>
      </c>
    </row>
    <row r="41" spans="1:17" x14ac:dyDescent="0.25">
      <c r="A41" s="3">
        <v>2419926</v>
      </c>
      <c r="B41" s="4" t="s">
        <v>110</v>
      </c>
      <c r="C41" s="12">
        <v>45</v>
      </c>
      <c r="D41" s="4" t="s">
        <v>111</v>
      </c>
      <c r="E41" s="4" t="s">
        <v>14</v>
      </c>
      <c r="F41" s="4" t="s">
        <v>33</v>
      </c>
      <c r="G41" s="4" t="s">
        <v>34</v>
      </c>
      <c r="H41" s="4" t="s">
        <v>112</v>
      </c>
      <c r="I41" s="4">
        <v>57.07</v>
      </c>
      <c r="J41" s="4" t="s">
        <v>111</v>
      </c>
      <c r="K41" s="4" t="s">
        <v>18</v>
      </c>
      <c r="L41">
        <v>0</v>
      </c>
      <c r="M41" s="9">
        <f t="shared" si="0"/>
        <v>54.614699999999999</v>
      </c>
      <c r="N41">
        <v>0</v>
      </c>
      <c r="O41" s="9">
        <v>0</v>
      </c>
      <c r="P41" s="9">
        <f t="shared" si="1"/>
        <v>-54.614699999999999</v>
      </c>
      <c r="Q41" s="16">
        <f t="shared" si="2"/>
        <v>54.614699999999999</v>
      </c>
    </row>
    <row r="42" spans="1:17" x14ac:dyDescent="0.25">
      <c r="A42" s="3" t="s">
        <v>113</v>
      </c>
      <c r="B42" s="4" t="s">
        <v>114</v>
      </c>
      <c r="C42" s="12">
        <f>I42*3%+I42</f>
        <v>0</v>
      </c>
      <c r="D42" s="4" t="s">
        <v>13</v>
      </c>
      <c r="E42" s="4" t="s">
        <v>14</v>
      </c>
      <c r="F42" s="4" t="s">
        <v>33</v>
      </c>
      <c r="G42" s="4" t="s">
        <v>34</v>
      </c>
      <c r="H42" s="4" t="s">
        <v>115</v>
      </c>
      <c r="I42" s="4">
        <v>0</v>
      </c>
      <c r="J42" s="4" t="s">
        <v>13</v>
      </c>
      <c r="K42" s="4" t="s">
        <v>18</v>
      </c>
      <c r="L42" t="s">
        <v>113</v>
      </c>
      <c r="M42" s="9">
        <f t="shared" si="0"/>
        <v>0</v>
      </c>
      <c r="N42">
        <v>0</v>
      </c>
      <c r="O42" s="9">
        <v>0</v>
      </c>
      <c r="P42" s="9">
        <f t="shared" si="1"/>
        <v>0</v>
      </c>
      <c r="Q42" s="16">
        <f t="shared" si="2"/>
        <v>0</v>
      </c>
    </row>
    <row r="43" spans="1:17" x14ac:dyDescent="0.25">
      <c r="A43" s="3" t="s">
        <v>116</v>
      </c>
      <c r="B43" s="4" t="s">
        <v>117</v>
      </c>
      <c r="C43" s="12">
        <f t="shared" ref="C43:C47" si="7">I43*3%+I43</f>
        <v>4.3260000000000005</v>
      </c>
      <c r="D43" s="4" t="s">
        <v>118</v>
      </c>
      <c r="E43" s="4" t="s">
        <v>14</v>
      </c>
      <c r="F43" s="4" t="s">
        <v>119</v>
      </c>
      <c r="G43" s="4" t="s">
        <v>120</v>
      </c>
      <c r="H43" s="4" t="s">
        <v>121</v>
      </c>
      <c r="I43" s="4">
        <v>4.2</v>
      </c>
      <c r="J43" s="4" t="s">
        <v>118</v>
      </c>
      <c r="K43" s="4" t="s">
        <v>18</v>
      </c>
      <c r="L43" t="s">
        <v>116</v>
      </c>
      <c r="M43" s="9">
        <f t="shared" si="0"/>
        <v>5.25029316</v>
      </c>
      <c r="N43">
        <v>0</v>
      </c>
      <c r="O43" s="9">
        <v>0</v>
      </c>
      <c r="P43" s="9">
        <f t="shared" si="1"/>
        <v>-5.25029316</v>
      </c>
      <c r="Q43" s="16">
        <f t="shared" si="2"/>
        <v>5.25029316</v>
      </c>
    </row>
    <row r="44" spans="1:17" x14ac:dyDescent="0.25">
      <c r="A44" s="3" t="s">
        <v>122</v>
      </c>
      <c r="B44" s="4" t="s">
        <v>123</v>
      </c>
      <c r="C44" s="12">
        <f t="shared" si="7"/>
        <v>7.21</v>
      </c>
      <c r="D44" s="4" t="s">
        <v>124</v>
      </c>
      <c r="E44" s="4" t="s">
        <v>14</v>
      </c>
      <c r="F44" s="4" t="s">
        <v>15</v>
      </c>
      <c r="G44" s="4" t="s">
        <v>16</v>
      </c>
      <c r="H44" s="4" t="s">
        <v>17</v>
      </c>
      <c r="I44" s="4">
        <v>7</v>
      </c>
      <c r="J44" s="4" t="s">
        <v>124</v>
      </c>
      <c r="K44" s="4" t="s">
        <v>18</v>
      </c>
      <c r="L44" t="s">
        <v>122</v>
      </c>
      <c r="M44" s="9">
        <f t="shared" si="0"/>
        <v>8.7504885999999988</v>
      </c>
      <c r="N44">
        <v>0</v>
      </c>
      <c r="O44" s="9">
        <v>0</v>
      </c>
      <c r="P44" s="9">
        <f t="shared" si="1"/>
        <v>-8.7504885999999988</v>
      </c>
      <c r="Q44" s="16">
        <f t="shared" si="2"/>
        <v>8.7504885999999988</v>
      </c>
    </row>
    <row r="45" spans="1:17" x14ac:dyDescent="0.25">
      <c r="A45" s="3" t="s">
        <v>125</v>
      </c>
      <c r="B45" s="4" t="s">
        <v>126</v>
      </c>
      <c r="C45" s="12">
        <f t="shared" si="7"/>
        <v>4.3260000000000005</v>
      </c>
      <c r="D45" s="4" t="s">
        <v>32</v>
      </c>
      <c r="E45" s="4" t="s">
        <v>14</v>
      </c>
      <c r="F45" s="4" t="s">
        <v>15</v>
      </c>
      <c r="G45" s="4" t="s">
        <v>16</v>
      </c>
      <c r="H45" s="4" t="s">
        <v>17</v>
      </c>
      <c r="I45" s="4">
        <v>4.2</v>
      </c>
      <c r="J45" s="4" t="s">
        <v>32</v>
      </c>
      <c r="K45" s="4" t="s">
        <v>18</v>
      </c>
      <c r="L45" t="s">
        <v>125</v>
      </c>
      <c r="M45" s="9">
        <f t="shared" si="0"/>
        <v>5.25029316</v>
      </c>
      <c r="N45">
        <v>0</v>
      </c>
      <c r="O45" s="9">
        <v>0</v>
      </c>
      <c r="P45" s="9">
        <f t="shared" si="1"/>
        <v>-5.25029316</v>
      </c>
      <c r="Q45" s="16">
        <f t="shared" si="2"/>
        <v>5.25029316</v>
      </c>
    </row>
    <row r="46" spans="1:17" x14ac:dyDescent="0.25">
      <c r="A46" s="3" t="s">
        <v>127</v>
      </c>
      <c r="B46" s="4" t="s">
        <v>128</v>
      </c>
      <c r="C46" s="12">
        <f t="shared" si="7"/>
        <v>12.875</v>
      </c>
      <c r="D46" s="4" t="s">
        <v>32</v>
      </c>
      <c r="E46" s="4" t="s">
        <v>14</v>
      </c>
      <c r="F46" s="4" t="s">
        <v>15</v>
      </c>
      <c r="G46" s="4" t="s">
        <v>16</v>
      </c>
      <c r="H46" s="4" t="s">
        <v>17</v>
      </c>
      <c r="I46" s="4">
        <v>12.5</v>
      </c>
      <c r="J46" s="4" t="s">
        <v>32</v>
      </c>
      <c r="K46" s="4" t="s">
        <v>18</v>
      </c>
      <c r="L46" t="s">
        <v>127</v>
      </c>
      <c r="M46" s="9">
        <f t="shared" si="0"/>
        <v>15.6258725</v>
      </c>
      <c r="N46">
        <v>0</v>
      </c>
      <c r="O46" s="9">
        <v>0</v>
      </c>
      <c r="P46" s="9">
        <f t="shared" si="1"/>
        <v>-15.6258725</v>
      </c>
      <c r="Q46" s="16">
        <f t="shared" si="2"/>
        <v>15.6258725</v>
      </c>
    </row>
    <row r="47" spans="1:17" x14ac:dyDescent="0.25">
      <c r="A47" s="3" t="s">
        <v>129</v>
      </c>
      <c r="B47" s="4" t="s">
        <v>130</v>
      </c>
      <c r="C47" s="12">
        <f t="shared" si="7"/>
        <v>57.690300000000001</v>
      </c>
      <c r="D47" s="4" t="s">
        <v>118</v>
      </c>
      <c r="E47" s="4" t="s">
        <v>14</v>
      </c>
      <c r="F47" s="4" t="s">
        <v>131</v>
      </c>
      <c r="G47" s="4" t="s">
        <v>132</v>
      </c>
      <c r="H47" s="4" t="s">
        <v>133</v>
      </c>
      <c r="I47" s="4">
        <v>56.01</v>
      </c>
      <c r="J47" s="4" t="s">
        <v>118</v>
      </c>
      <c r="K47" s="4" t="s">
        <v>18</v>
      </c>
      <c r="L47" t="s">
        <v>129</v>
      </c>
      <c r="M47" s="9">
        <f t="shared" si="0"/>
        <v>70.016409498000002</v>
      </c>
      <c r="N47" t="s">
        <v>129</v>
      </c>
      <c r="O47" s="9">
        <v>70.019400000000005</v>
      </c>
      <c r="P47" s="9">
        <f t="shared" si="1"/>
        <v>2.9905020000029481E-3</v>
      </c>
      <c r="Q47" s="16">
        <f t="shared" si="2"/>
        <v>70.016409498000002</v>
      </c>
    </row>
    <row r="48" spans="1:17" x14ac:dyDescent="0.25">
      <c r="A48" s="3">
        <v>2297215</v>
      </c>
      <c r="B48" s="4" t="s">
        <v>134</v>
      </c>
      <c r="C48" s="12">
        <v>230</v>
      </c>
      <c r="D48" s="4" t="s">
        <v>111</v>
      </c>
      <c r="E48" s="4" t="s">
        <v>14</v>
      </c>
      <c r="F48" s="4" t="s">
        <v>33</v>
      </c>
      <c r="G48" s="4" t="s">
        <v>34</v>
      </c>
      <c r="H48" s="4" t="s">
        <v>135</v>
      </c>
      <c r="I48" s="4">
        <v>262.5</v>
      </c>
      <c r="J48" s="4" t="s">
        <v>111</v>
      </c>
      <c r="K48" s="4" t="s">
        <v>18</v>
      </c>
      <c r="L48">
        <v>0</v>
      </c>
      <c r="M48" s="9">
        <f t="shared" si="0"/>
        <v>279.14179999999999</v>
      </c>
      <c r="N48">
        <v>0</v>
      </c>
      <c r="O48" s="9">
        <v>0</v>
      </c>
      <c r="P48" s="9">
        <f t="shared" si="1"/>
        <v>-279.14179999999999</v>
      </c>
      <c r="Q48" s="16">
        <f t="shared" si="2"/>
        <v>279.14179999999999</v>
      </c>
    </row>
    <row r="49" spans="1:17" x14ac:dyDescent="0.25">
      <c r="A49" s="3">
        <v>2297205</v>
      </c>
      <c r="B49" s="4" t="s">
        <v>136</v>
      </c>
      <c r="C49" s="12">
        <v>90</v>
      </c>
      <c r="D49" s="4" t="s">
        <v>111</v>
      </c>
      <c r="E49" s="4" t="s">
        <v>14</v>
      </c>
      <c r="F49" s="4" t="s">
        <v>33</v>
      </c>
      <c r="G49" s="4" t="s">
        <v>34</v>
      </c>
      <c r="H49" s="4" t="s">
        <v>135</v>
      </c>
      <c r="I49" s="4">
        <v>99.75</v>
      </c>
      <c r="J49" s="4" t="s">
        <v>111</v>
      </c>
      <c r="K49" s="4" t="s">
        <v>18</v>
      </c>
      <c r="L49">
        <v>0</v>
      </c>
      <c r="M49" s="9">
        <f t="shared" si="0"/>
        <v>109.2294</v>
      </c>
      <c r="N49">
        <v>0</v>
      </c>
      <c r="O49" s="9">
        <v>0</v>
      </c>
      <c r="P49" s="9">
        <f t="shared" si="1"/>
        <v>-109.2294</v>
      </c>
      <c r="Q49" s="16">
        <f t="shared" si="2"/>
        <v>109.2294</v>
      </c>
    </row>
    <row r="50" spans="1:17" customFormat="1" x14ac:dyDescent="0.25">
      <c r="A50" s="3" t="s">
        <v>137</v>
      </c>
      <c r="B50" s="4" t="s">
        <v>138</v>
      </c>
      <c r="C50" s="13" t="s">
        <v>139</v>
      </c>
      <c r="D50" s="4" t="s">
        <v>13</v>
      </c>
      <c r="E50" s="4" t="s">
        <v>14</v>
      </c>
      <c r="F50" s="4" t="s">
        <v>33</v>
      </c>
      <c r="G50" s="4" t="s">
        <v>34</v>
      </c>
      <c r="H50" s="4" t="s">
        <v>115</v>
      </c>
      <c r="I50" s="4">
        <v>0</v>
      </c>
      <c r="J50" s="4" t="s">
        <v>13</v>
      </c>
      <c r="K50" s="4" t="s">
        <v>18</v>
      </c>
      <c r="L50" t="s">
        <v>137</v>
      </c>
      <c r="M50" s="10" t="e">
        <f t="shared" si="0"/>
        <v>#VALUE!</v>
      </c>
      <c r="N50">
        <v>0</v>
      </c>
      <c r="O50" s="10">
        <v>0</v>
      </c>
      <c r="P50" s="10" t="e">
        <f t="shared" si="1"/>
        <v>#VALUE!</v>
      </c>
      <c r="Q50" s="16" t="s">
        <v>139</v>
      </c>
    </row>
    <row r="51" spans="1:17" x14ac:dyDescent="0.25">
      <c r="A51" s="3" t="s">
        <v>140</v>
      </c>
      <c r="B51" s="4" t="s">
        <v>141</v>
      </c>
      <c r="C51" s="12">
        <f>I51*3%+I51</f>
        <v>1745.85</v>
      </c>
      <c r="D51" s="4" t="s">
        <v>13</v>
      </c>
      <c r="E51" s="4" t="s">
        <v>14</v>
      </c>
      <c r="F51" s="4" t="s">
        <v>33</v>
      </c>
      <c r="G51" s="4" t="s">
        <v>34</v>
      </c>
      <c r="H51" s="4" t="s">
        <v>115</v>
      </c>
      <c r="I51" s="4">
        <v>1695</v>
      </c>
      <c r="J51" s="4" t="s">
        <v>13</v>
      </c>
      <c r="K51" s="4" t="s">
        <v>18</v>
      </c>
      <c r="L51" t="s">
        <v>140</v>
      </c>
      <c r="M51" s="9">
        <f t="shared" si="0"/>
        <v>2118.8683109999997</v>
      </c>
      <c r="N51">
        <v>0</v>
      </c>
      <c r="O51" s="9">
        <v>0</v>
      </c>
      <c r="P51" s="9">
        <f t="shared" si="1"/>
        <v>-2118.8683109999997</v>
      </c>
      <c r="Q51" s="16">
        <f t="shared" si="2"/>
        <v>2118.8683109999997</v>
      </c>
    </row>
    <row r="52" spans="1:17" x14ac:dyDescent="0.25">
      <c r="A52" s="3" t="s">
        <v>142</v>
      </c>
      <c r="B52" s="4" t="s">
        <v>143</v>
      </c>
      <c r="C52" s="12">
        <v>484</v>
      </c>
      <c r="D52" s="4" t="s">
        <v>13</v>
      </c>
      <c r="E52" s="4" t="s">
        <v>14</v>
      </c>
      <c r="F52" s="4" t="s">
        <v>33</v>
      </c>
      <c r="G52" s="4" t="s">
        <v>34</v>
      </c>
      <c r="H52" s="4" t="s">
        <v>115</v>
      </c>
      <c r="I52" s="4">
        <v>495.06</v>
      </c>
      <c r="J52" s="4" t="s">
        <v>13</v>
      </c>
      <c r="K52" s="4" t="s">
        <v>18</v>
      </c>
      <c r="L52" t="s">
        <v>142</v>
      </c>
      <c r="M52" s="9">
        <f t="shared" si="0"/>
        <v>587.41143999999997</v>
      </c>
      <c r="N52" t="s">
        <v>142</v>
      </c>
      <c r="O52" s="9">
        <v>618.85490000000004</v>
      </c>
      <c r="P52" s="9">
        <f t="shared" si="1"/>
        <v>31.443460000000073</v>
      </c>
      <c r="Q52" s="16">
        <f t="shared" si="2"/>
        <v>587.41143999999997</v>
      </c>
    </row>
    <row r="53" spans="1:17" x14ac:dyDescent="0.25">
      <c r="A53" s="3" t="s">
        <v>144</v>
      </c>
      <c r="B53" s="4" t="s">
        <v>145</v>
      </c>
      <c r="C53" s="12">
        <v>567.79</v>
      </c>
      <c r="D53" s="4" t="s">
        <v>13</v>
      </c>
      <c r="E53" s="4" t="s">
        <v>14</v>
      </c>
      <c r="F53" s="4" t="s">
        <v>33</v>
      </c>
      <c r="G53" s="4" t="s">
        <v>34</v>
      </c>
      <c r="H53" s="4" t="s">
        <v>115</v>
      </c>
      <c r="I53" s="4">
        <v>551.25</v>
      </c>
      <c r="J53" s="4" t="s">
        <v>13</v>
      </c>
      <c r="K53" s="4" t="s">
        <v>18</v>
      </c>
      <c r="L53" t="s">
        <v>144</v>
      </c>
      <c r="M53" s="9">
        <f t="shared" si="0"/>
        <v>689.10401139999999</v>
      </c>
      <c r="N53">
        <v>0</v>
      </c>
      <c r="O53" s="9">
        <v>0</v>
      </c>
      <c r="P53" s="9">
        <f t="shared" si="1"/>
        <v>-689.10401139999999</v>
      </c>
      <c r="Q53" s="16">
        <f t="shared" si="2"/>
        <v>689.10401139999999</v>
      </c>
    </row>
    <row r="54" spans="1:17" x14ac:dyDescent="0.25">
      <c r="A54" s="3" t="s">
        <v>146</v>
      </c>
      <c r="B54" s="4" t="s">
        <v>147</v>
      </c>
      <c r="C54" s="12">
        <v>2000</v>
      </c>
      <c r="D54" s="4" t="s">
        <v>13</v>
      </c>
      <c r="E54" s="4" t="s">
        <v>14</v>
      </c>
      <c r="F54" s="4" t="s">
        <v>33</v>
      </c>
      <c r="G54" s="4" t="s">
        <v>34</v>
      </c>
      <c r="H54" s="4" t="s">
        <v>115</v>
      </c>
      <c r="I54" s="4">
        <v>1632.59</v>
      </c>
      <c r="J54" s="4" t="s">
        <v>13</v>
      </c>
      <c r="K54" s="4" t="s">
        <v>18</v>
      </c>
      <c r="L54" t="s">
        <v>146</v>
      </c>
      <c r="M54" s="9">
        <f t="shared" si="0"/>
        <v>2427.3199999999997</v>
      </c>
      <c r="N54">
        <v>0</v>
      </c>
      <c r="O54" s="9">
        <v>0</v>
      </c>
      <c r="P54" s="9">
        <f t="shared" si="1"/>
        <v>-2427.3199999999997</v>
      </c>
      <c r="Q54" s="16">
        <f t="shared" si="2"/>
        <v>2427.3199999999997</v>
      </c>
    </row>
    <row r="55" spans="1:17" x14ac:dyDescent="0.25">
      <c r="A55" s="3" t="s">
        <v>148</v>
      </c>
      <c r="B55" s="4" t="s">
        <v>149</v>
      </c>
      <c r="C55" s="12">
        <v>108.15</v>
      </c>
      <c r="D55" s="4" t="s">
        <v>13</v>
      </c>
      <c r="E55" s="4" t="s">
        <v>14</v>
      </c>
      <c r="F55" s="4" t="s">
        <v>33</v>
      </c>
      <c r="G55" s="4" t="s">
        <v>34</v>
      </c>
      <c r="H55" s="4" t="s">
        <v>115</v>
      </c>
      <c r="I55" s="4">
        <v>105</v>
      </c>
      <c r="J55" s="4" t="s">
        <v>13</v>
      </c>
      <c r="K55" s="4" t="s">
        <v>18</v>
      </c>
      <c r="L55" t="s">
        <v>148</v>
      </c>
      <c r="M55" s="9">
        <f t="shared" si="0"/>
        <v>131.257329</v>
      </c>
      <c r="N55">
        <v>0</v>
      </c>
      <c r="O55" s="9">
        <v>0</v>
      </c>
      <c r="P55" s="9">
        <f t="shared" si="1"/>
        <v>-131.257329</v>
      </c>
      <c r="Q55" s="16">
        <f t="shared" si="2"/>
        <v>131.257329</v>
      </c>
    </row>
    <row r="56" spans="1:17" x14ac:dyDescent="0.25">
      <c r="A56" s="3" t="s">
        <v>150</v>
      </c>
      <c r="B56" s="4" t="s">
        <v>151</v>
      </c>
      <c r="C56" s="12">
        <v>121.13</v>
      </c>
      <c r="D56" s="4" t="s">
        <v>13</v>
      </c>
      <c r="E56" s="4" t="s">
        <v>14</v>
      </c>
      <c r="F56" s="4" t="s">
        <v>33</v>
      </c>
      <c r="G56" s="4" t="s">
        <v>34</v>
      </c>
      <c r="H56" s="4" t="s">
        <v>115</v>
      </c>
      <c r="I56" s="4">
        <v>117.6</v>
      </c>
      <c r="J56" s="4" t="s">
        <v>13</v>
      </c>
      <c r="K56" s="4" t="s">
        <v>18</v>
      </c>
      <c r="L56" t="s">
        <v>150</v>
      </c>
      <c r="M56" s="9">
        <f t="shared" si="0"/>
        <v>147.01063579999999</v>
      </c>
      <c r="N56">
        <v>0</v>
      </c>
      <c r="O56" s="9">
        <v>0</v>
      </c>
      <c r="P56" s="9">
        <f t="shared" si="1"/>
        <v>-147.01063579999999</v>
      </c>
      <c r="Q56" s="16">
        <f t="shared" si="2"/>
        <v>147.01063579999999</v>
      </c>
    </row>
    <row r="57" spans="1:17" x14ac:dyDescent="0.25">
      <c r="A57" s="3" t="s">
        <v>152</v>
      </c>
      <c r="B57" s="4" t="s">
        <v>153</v>
      </c>
      <c r="C57" s="12">
        <v>151.41</v>
      </c>
      <c r="D57" s="4" t="s">
        <v>13</v>
      </c>
      <c r="E57" s="4" t="s">
        <v>14</v>
      </c>
      <c r="F57" s="4" t="s">
        <v>33</v>
      </c>
      <c r="G57" s="4" t="s">
        <v>34</v>
      </c>
      <c r="H57" s="4" t="s">
        <v>115</v>
      </c>
      <c r="I57" s="4">
        <v>147</v>
      </c>
      <c r="J57" s="4" t="s">
        <v>13</v>
      </c>
      <c r="K57" s="4" t="s">
        <v>18</v>
      </c>
      <c r="L57" t="s">
        <v>152</v>
      </c>
      <c r="M57" s="9">
        <f t="shared" si="0"/>
        <v>183.76026059999998</v>
      </c>
      <c r="N57">
        <v>0</v>
      </c>
      <c r="O57" s="9">
        <v>0</v>
      </c>
      <c r="P57" s="9">
        <f t="shared" si="1"/>
        <v>-183.76026059999998</v>
      </c>
      <c r="Q57" s="16">
        <f t="shared" si="2"/>
        <v>183.76026059999998</v>
      </c>
    </row>
    <row r="58" spans="1:17" x14ac:dyDescent="0.25">
      <c r="A58" s="3">
        <v>6670725</v>
      </c>
      <c r="B58" s="4" t="s">
        <v>154</v>
      </c>
      <c r="C58" s="12">
        <v>75</v>
      </c>
      <c r="D58" s="4" t="s">
        <v>32</v>
      </c>
      <c r="E58" s="4" t="s">
        <v>14</v>
      </c>
      <c r="F58" s="4" t="s">
        <v>33</v>
      </c>
      <c r="G58" s="4" t="s">
        <v>34</v>
      </c>
      <c r="H58" s="4" t="s">
        <v>155</v>
      </c>
      <c r="I58" s="4">
        <v>75</v>
      </c>
      <c r="J58" s="4" t="s">
        <v>32</v>
      </c>
      <c r="K58" s="4" t="s">
        <v>18</v>
      </c>
      <c r="L58">
        <v>6670725</v>
      </c>
      <c r="M58" s="9">
        <f t="shared" si="0"/>
        <v>91.024500000000003</v>
      </c>
      <c r="N58">
        <v>0</v>
      </c>
      <c r="O58" s="9">
        <v>0</v>
      </c>
      <c r="P58" s="9">
        <f t="shared" si="1"/>
        <v>-91.024500000000003</v>
      </c>
      <c r="Q58" s="16">
        <f t="shared" si="2"/>
        <v>91.024500000000003</v>
      </c>
    </row>
    <row r="59" spans="1:17" customFormat="1" x14ac:dyDescent="0.25">
      <c r="A59" s="3" t="s">
        <v>156</v>
      </c>
      <c r="B59" s="4" t="s">
        <v>157</v>
      </c>
      <c r="C59" s="13">
        <f>I59*3%+I59</f>
        <v>486.67500000000001</v>
      </c>
      <c r="D59" s="4" t="s">
        <v>118</v>
      </c>
      <c r="E59" s="4" t="s">
        <v>158</v>
      </c>
      <c r="F59" s="4" t="s">
        <v>159</v>
      </c>
      <c r="G59" s="4" t="s">
        <v>160</v>
      </c>
      <c r="H59" s="4" t="s">
        <v>161</v>
      </c>
      <c r="I59" s="4">
        <v>472.5</v>
      </c>
      <c r="J59" s="4" t="s">
        <v>118</v>
      </c>
      <c r="K59" s="4" t="s">
        <v>18</v>
      </c>
      <c r="L59" t="s">
        <v>156</v>
      </c>
      <c r="M59" s="9">
        <f t="shared" si="0"/>
        <v>590.65798050000001</v>
      </c>
      <c r="N59">
        <v>0</v>
      </c>
      <c r="O59" s="9">
        <v>0</v>
      </c>
      <c r="P59" s="9">
        <f t="shared" si="1"/>
        <v>-590.65798050000001</v>
      </c>
      <c r="Q59" s="16">
        <f t="shared" si="2"/>
        <v>590.65798050000001</v>
      </c>
    </row>
    <row r="60" spans="1:17" x14ac:dyDescent="0.25">
      <c r="A60" s="3" t="s">
        <v>162</v>
      </c>
      <c r="B60" s="4" t="s">
        <v>163</v>
      </c>
      <c r="C60" s="12">
        <v>42</v>
      </c>
      <c r="D60" s="4" t="s">
        <v>13</v>
      </c>
      <c r="E60" s="4" t="s">
        <v>14</v>
      </c>
      <c r="F60" s="4" t="s">
        <v>33</v>
      </c>
      <c r="G60" s="4" t="s">
        <v>34</v>
      </c>
      <c r="H60" s="4" t="s">
        <v>115</v>
      </c>
      <c r="I60" s="4">
        <v>338.63</v>
      </c>
      <c r="J60" s="4" t="s">
        <v>13</v>
      </c>
      <c r="K60" s="4" t="s">
        <v>18</v>
      </c>
      <c r="L60" t="s">
        <v>162</v>
      </c>
      <c r="M60" s="9">
        <f t="shared" si="0"/>
        <v>50.97372</v>
      </c>
      <c r="N60">
        <v>0</v>
      </c>
      <c r="O60" s="9">
        <v>0</v>
      </c>
      <c r="P60" s="9">
        <f t="shared" si="1"/>
        <v>-50.97372</v>
      </c>
      <c r="Q60" s="16">
        <f t="shared" si="2"/>
        <v>50.97372</v>
      </c>
    </row>
    <row r="61" spans="1:17" x14ac:dyDescent="0.25">
      <c r="A61" s="3" t="s">
        <v>164</v>
      </c>
      <c r="B61" s="4" t="s">
        <v>165</v>
      </c>
      <c r="C61" s="12">
        <v>98</v>
      </c>
      <c r="D61" s="4" t="s">
        <v>13</v>
      </c>
      <c r="E61" s="4" t="s">
        <v>14</v>
      </c>
      <c r="F61" s="4" t="s">
        <v>33</v>
      </c>
      <c r="G61" s="4" t="s">
        <v>34</v>
      </c>
      <c r="H61" s="4" t="s">
        <v>115</v>
      </c>
      <c r="I61" s="4">
        <v>157.5</v>
      </c>
      <c r="J61" s="4" t="s">
        <v>13</v>
      </c>
      <c r="K61" s="4" t="s">
        <v>18</v>
      </c>
      <c r="L61" t="s">
        <v>164</v>
      </c>
      <c r="M61" s="9">
        <f t="shared" si="0"/>
        <v>118.93867999999999</v>
      </c>
      <c r="N61" t="s">
        <v>164</v>
      </c>
      <c r="O61" s="9">
        <v>196.8845</v>
      </c>
      <c r="P61" s="9">
        <f t="shared" si="1"/>
        <v>77.945820000000012</v>
      </c>
      <c r="Q61" s="16">
        <f t="shared" si="2"/>
        <v>118.93867999999999</v>
      </c>
    </row>
    <row r="62" spans="1:17" x14ac:dyDescent="0.25">
      <c r="A62" s="3" t="s">
        <v>166</v>
      </c>
      <c r="B62" s="4" t="s">
        <v>167</v>
      </c>
      <c r="C62" s="12">
        <f>I62*3%+I62</f>
        <v>119.89200000000001</v>
      </c>
      <c r="D62" s="4" t="s">
        <v>124</v>
      </c>
      <c r="E62" s="4" t="s">
        <v>14</v>
      </c>
      <c r="F62" s="4" t="s">
        <v>15</v>
      </c>
      <c r="G62" s="4" t="s">
        <v>16</v>
      </c>
      <c r="H62" s="4" t="s">
        <v>17</v>
      </c>
      <c r="I62" s="4">
        <v>116.4</v>
      </c>
      <c r="J62" s="4" t="s">
        <v>124</v>
      </c>
      <c r="K62" s="4" t="s">
        <v>18</v>
      </c>
      <c r="L62" t="s">
        <v>166</v>
      </c>
      <c r="M62" s="9">
        <f t="shared" si="0"/>
        <v>145.50812472000001</v>
      </c>
      <c r="N62">
        <v>0</v>
      </c>
      <c r="O62" s="9">
        <v>0</v>
      </c>
      <c r="P62" s="9">
        <f t="shared" si="1"/>
        <v>-145.50812472000001</v>
      </c>
      <c r="Q62" s="16">
        <f t="shared" si="2"/>
        <v>145.50812472000001</v>
      </c>
    </row>
    <row r="63" spans="1:17" x14ac:dyDescent="0.25">
      <c r="A63" s="3" t="s">
        <v>168</v>
      </c>
      <c r="B63" s="4" t="s">
        <v>169</v>
      </c>
      <c r="C63" s="12">
        <f>I63*3%+I63</f>
        <v>32.208100000000002</v>
      </c>
      <c r="D63" s="4" t="s">
        <v>13</v>
      </c>
      <c r="E63" s="4" t="s">
        <v>23</v>
      </c>
      <c r="F63" s="4" t="s">
        <v>49</v>
      </c>
      <c r="G63" s="4" t="s">
        <v>50</v>
      </c>
      <c r="H63" s="4" t="s">
        <v>50</v>
      </c>
      <c r="I63" s="4">
        <v>31.27</v>
      </c>
      <c r="J63" s="4" t="s">
        <v>13</v>
      </c>
      <c r="K63" s="4" t="s">
        <v>18</v>
      </c>
      <c r="L63" t="s">
        <v>168</v>
      </c>
      <c r="M63" s="9">
        <f t="shared" si="0"/>
        <v>39.089682646</v>
      </c>
      <c r="N63">
        <v>0</v>
      </c>
      <c r="O63" s="9">
        <v>0</v>
      </c>
      <c r="P63" s="9">
        <f t="shared" si="1"/>
        <v>-39.089682646</v>
      </c>
      <c r="Q63" s="16">
        <f t="shared" si="2"/>
        <v>39.089682646</v>
      </c>
    </row>
    <row r="64" spans="1:17" customFormat="1" x14ac:dyDescent="0.25">
      <c r="A64" s="3" t="s">
        <v>170</v>
      </c>
      <c r="B64" s="4" t="s">
        <v>171</v>
      </c>
      <c r="C64" s="13">
        <f>I64*3%+I64</f>
        <v>28.324999999999999</v>
      </c>
      <c r="D64" s="4" t="s">
        <v>32</v>
      </c>
      <c r="E64" s="4" t="s">
        <v>158</v>
      </c>
      <c r="F64" s="4" t="s">
        <v>159</v>
      </c>
      <c r="G64" s="4" t="s">
        <v>160</v>
      </c>
      <c r="H64" s="4" t="s">
        <v>161</v>
      </c>
      <c r="I64" s="4">
        <v>27.5</v>
      </c>
      <c r="J64" s="4" t="s">
        <v>32</v>
      </c>
      <c r="K64" s="4" t="s">
        <v>18</v>
      </c>
      <c r="L64" t="s">
        <v>170</v>
      </c>
      <c r="M64" s="9">
        <f t="shared" si="0"/>
        <v>34.3769195</v>
      </c>
      <c r="N64">
        <v>0</v>
      </c>
      <c r="O64" s="9">
        <v>0</v>
      </c>
      <c r="P64" s="9">
        <f t="shared" si="1"/>
        <v>-34.3769195</v>
      </c>
      <c r="Q64" s="16">
        <f t="shared" si="2"/>
        <v>34.3769195</v>
      </c>
    </row>
    <row r="65" spans="1:17" x14ac:dyDescent="0.25">
      <c r="A65" s="3" t="s">
        <v>172</v>
      </c>
      <c r="B65" s="4" t="s">
        <v>173</v>
      </c>
      <c r="C65" s="12">
        <f>I65*3%+I65</f>
        <v>348.46960000000001</v>
      </c>
      <c r="D65" s="4" t="s">
        <v>32</v>
      </c>
      <c r="E65" s="4" t="s">
        <v>14</v>
      </c>
      <c r="F65" s="4" t="s">
        <v>44</v>
      </c>
      <c r="G65" s="4" t="s">
        <v>45</v>
      </c>
      <c r="H65" s="4" t="s">
        <v>23</v>
      </c>
      <c r="I65" s="4">
        <v>338.32</v>
      </c>
      <c r="J65" s="4" t="s">
        <v>32</v>
      </c>
      <c r="K65" s="4" t="s">
        <v>18</v>
      </c>
      <c r="L65" t="s">
        <v>172</v>
      </c>
      <c r="M65" s="9">
        <f t="shared" si="0"/>
        <v>422.92361473599999</v>
      </c>
      <c r="N65">
        <v>0</v>
      </c>
      <c r="O65" s="9">
        <v>0</v>
      </c>
      <c r="P65" s="9">
        <f t="shared" si="1"/>
        <v>-422.92361473599999</v>
      </c>
      <c r="Q65" s="16">
        <f t="shared" si="2"/>
        <v>422.92361473599999</v>
      </c>
    </row>
    <row r="66" spans="1:17" x14ac:dyDescent="0.25">
      <c r="A66" s="3" t="s">
        <v>174</v>
      </c>
      <c r="B66" s="4" t="s">
        <v>175</v>
      </c>
      <c r="C66" s="12">
        <f t="shared" ref="C66:C68" si="8">I66*3%+I66</f>
        <v>33.691299999999998</v>
      </c>
      <c r="D66" s="4" t="s">
        <v>13</v>
      </c>
      <c r="E66" s="4" t="s">
        <v>14</v>
      </c>
      <c r="F66" s="4" t="s">
        <v>44</v>
      </c>
      <c r="G66" s="4" t="s">
        <v>45</v>
      </c>
      <c r="H66" s="4" t="s">
        <v>23</v>
      </c>
      <c r="I66" s="4">
        <v>32.71</v>
      </c>
      <c r="J66" s="4" t="s">
        <v>13</v>
      </c>
      <c r="K66" s="4" t="s">
        <v>18</v>
      </c>
      <c r="L66" t="s">
        <v>174</v>
      </c>
      <c r="M66" s="9">
        <f t="shared" si="0"/>
        <v>40.889783157999993</v>
      </c>
      <c r="N66" t="s">
        <v>174</v>
      </c>
      <c r="O66" s="9">
        <v>40.890999999999998</v>
      </c>
      <c r="P66" s="9">
        <f t="shared" si="1"/>
        <v>1.2168420000051583E-3</v>
      </c>
      <c r="Q66" s="16">
        <f t="shared" si="2"/>
        <v>40.889783157999993</v>
      </c>
    </row>
    <row r="67" spans="1:17" x14ac:dyDescent="0.25">
      <c r="A67" s="3" t="s">
        <v>176</v>
      </c>
      <c r="B67" s="4" t="s">
        <v>177</v>
      </c>
      <c r="C67" s="12">
        <f t="shared" si="8"/>
        <v>259.56</v>
      </c>
      <c r="D67" s="4" t="s">
        <v>32</v>
      </c>
      <c r="E67" s="4" t="s">
        <v>14</v>
      </c>
      <c r="F67" s="4" t="s">
        <v>44</v>
      </c>
      <c r="G67" s="4" t="s">
        <v>45</v>
      </c>
      <c r="H67" s="4" t="s">
        <v>23</v>
      </c>
      <c r="I67" s="4">
        <v>252</v>
      </c>
      <c r="J67" s="4" t="s">
        <v>32</v>
      </c>
      <c r="K67" s="4" t="s">
        <v>18</v>
      </c>
      <c r="L67" t="s">
        <v>176</v>
      </c>
      <c r="M67" s="9">
        <f t="shared" ref="M67:M130" si="9">C67*1.21366</f>
        <v>315.01758960000001</v>
      </c>
      <c r="N67" t="s">
        <v>176</v>
      </c>
      <c r="O67" s="9">
        <v>315.01519999999999</v>
      </c>
      <c r="P67" s="9">
        <f t="shared" ref="P67:P130" si="10">O67-M67</f>
        <v>-2.3896000000149797E-3</v>
      </c>
      <c r="Q67" s="16">
        <f t="shared" ref="Q67:Q130" si="11">C67*1.21366</f>
        <v>315.01758960000001</v>
      </c>
    </row>
    <row r="68" spans="1:17" x14ac:dyDescent="0.25">
      <c r="A68" s="3" t="s">
        <v>178</v>
      </c>
      <c r="B68" s="4" t="s">
        <v>179</v>
      </c>
      <c r="C68" s="12">
        <f t="shared" si="8"/>
        <v>31.0442</v>
      </c>
      <c r="D68" s="4" t="s">
        <v>124</v>
      </c>
      <c r="E68" s="4" t="s">
        <v>14</v>
      </c>
      <c r="F68" s="4" t="s">
        <v>33</v>
      </c>
      <c r="G68" s="4" t="s">
        <v>34</v>
      </c>
      <c r="H68" s="4" t="s">
        <v>180</v>
      </c>
      <c r="I68" s="4">
        <v>30.14</v>
      </c>
      <c r="J68" s="4" t="s">
        <v>124</v>
      </c>
      <c r="K68" s="4" t="s">
        <v>18</v>
      </c>
      <c r="L68" t="s">
        <v>178</v>
      </c>
      <c r="M68" s="9">
        <f t="shared" si="9"/>
        <v>37.677103771999995</v>
      </c>
      <c r="N68">
        <v>0</v>
      </c>
      <c r="O68" s="9">
        <v>0</v>
      </c>
      <c r="P68" s="9">
        <f t="shared" si="10"/>
        <v>-37.677103771999995</v>
      </c>
      <c r="Q68" s="16">
        <f t="shared" si="11"/>
        <v>37.677103771999995</v>
      </c>
    </row>
    <row r="69" spans="1:17" x14ac:dyDescent="0.25">
      <c r="A69" s="3" t="s">
        <v>181</v>
      </c>
      <c r="B69" s="4" t="s">
        <v>182</v>
      </c>
      <c r="C69" s="12">
        <v>25</v>
      </c>
      <c r="D69" s="4" t="s">
        <v>32</v>
      </c>
      <c r="E69" s="4" t="s">
        <v>14</v>
      </c>
      <c r="F69" s="4" t="s">
        <v>15</v>
      </c>
      <c r="G69" s="4" t="s">
        <v>16</v>
      </c>
      <c r="H69" s="4" t="s">
        <v>17</v>
      </c>
      <c r="I69" s="4">
        <v>48.9</v>
      </c>
      <c r="J69" s="4" t="s">
        <v>32</v>
      </c>
      <c r="K69" s="4" t="s">
        <v>18</v>
      </c>
      <c r="L69" t="s">
        <v>181</v>
      </c>
      <c r="M69" s="9">
        <f t="shared" si="9"/>
        <v>30.3415</v>
      </c>
      <c r="N69" t="s">
        <v>181</v>
      </c>
      <c r="O69" s="9">
        <v>61.130499999999998</v>
      </c>
      <c r="P69" s="9">
        <f t="shared" si="10"/>
        <v>30.788999999999998</v>
      </c>
      <c r="Q69" s="16">
        <f t="shared" si="11"/>
        <v>30.3415</v>
      </c>
    </row>
    <row r="70" spans="1:17" x14ac:dyDescent="0.25">
      <c r="A70" s="3" t="s">
        <v>183</v>
      </c>
      <c r="B70" s="4" t="s">
        <v>184</v>
      </c>
      <c r="C70" s="12">
        <v>30</v>
      </c>
      <c r="D70" s="4" t="s">
        <v>32</v>
      </c>
      <c r="E70" s="4" t="s">
        <v>14</v>
      </c>
      <c r="F70" s="4" t="s">
        <v>15</v>
      </c>
      <c r="G70" s="4" t="s">
        <v>16</v>
      </c>
      <c r="H70" s="4" t="s">
        <v>17</v>
      </c>
      <c r="I70" s="4">
        <v>24.47</v>
      </c>
      <c r="J70" s="4" t="s">
        <v>32</v>
      </c>
      <c r="K70" s="4" t="s">
        <v>18</v>
      </c>
      <c r="L70" t="s">
        <v>183</v>
      </c>
      <c r="M70" s="9">
        <f t="shared" si="9"/>
        <v>36.409799999999997</v>
      </c>
      <c r="N70" t="s">
        <v>183</v>
      </c>
      <c r="O70" s="9">
        <v>30.591000000000001</v>
      </c>
      <c r="P70" s="9">
        <f t="shared" si="10"/>
        <v>-5.818799999999996</v>
      </c>
      <c r="Q70" s="16">
        <f t="shared" si="11"/>
        <v>36.409799999999997</v>
      </c>
    </row>
    <row r="71" spans="1:17" x14ac:dyDescent="0.25">
      <c r="A71" s="3" t="s">
        <v>185</v>
      </c>
      <c r="B71" s="4" t="s">
        <v>186</v>
      </c>
      <c r="C71" s="12">
        <f>I71*3%+I71</f>
        <v>17.201000000000001</v>
      </c>
      <c r="D71" s="4" t="s">
        <v>32</v>
      </c>
      <c r="E71" s="4" t="s">
        <v>14</v>
      </c>
      <c r="F71" s="4" t="s">
        <v>15</v>
      </c>
      <c r="G71" s="4" t="s">
        <v>16</v>
      </c>
      <c r="H71" s="4" t="s">
        <v>17</v>
      </c>
      <c r="I71" s="4">
        <v>16.7</v>
      </c>
      <c r="J71" s="4" t="s">
        <v>32</v>
      </c>
      <c r="K71" s="4" t="s">
        <v>18</v>
      </c>
      <c r="L71" t="s">
        <v>185</v>
      </c>
      <c r="M71" s="9">
        <f t="shared" si="9"/>
        <v>20.876165660000002</v>
      </c>
      <c r="N71" t="s">
        <v>185</v>
      </c>
      <c r="O71" s="9">
        <v>20.8781</v>
      </c>
      <c r="P71" s="9">
        <f t="shared" si="10"/>
        <v>1.934339999998258E-3</v>
      </c>
      <c r="Q71" s="16">
        <f t="shared" si="11"/>
        <v>20.876165660000002</v>
      </c>
    </row>
    <row r="72" spans="1:17" x14ac:dyDescent="0.25">
      <c r="A72" s="3" t="s">
        <v>187</v>
      </c>
      <c r="B72" s="4" t="s">
        <v>188</v>
      </c>
      <c r="C72" s="12">
        <f>I72*3%+I72</f>
        <v>48.389399999999995</v>
      </c>
      <c r="D72" s="4" t="s">
        <v>32</v>
      </c>
      <c r="E72" s="4" t="s">
        <v>14</v>
      </c>
      <c r="F72" s="4" t="s">
        <v>15</v>
      </c>
      <c r="G72" s="4" t="s">
        <v>16</v>
      </c>
      <c r="H72" s="4" t="s">
        <v>17</v>
      </c>
      <c r="I72" s="4">
        <v>46.98</v>
      </c>
      <c r="J72" s="4" t="s">
        <v>32</v>
      </c>
      <c r="K72" s="4" t="s">
        <v>18</v>
      </c>
      <c r="L72" t="s">
        <v>187</v>
      </c>
      <c r="M72" s="9">
        <f t="shared" si="9"/>
        <v>58.728279203999989</v>
      </c>
      <c r="N72" t="s">
        <v>187</v>
      </c>
      <c r="O72" s="9">
        <v>24.802399999999999</v>
      </c>
      <c r="P72" s="9">
        <f t="shared" si="10"/>
        <v>-33.92587920399999</v>
      </c>
      <c r="Q72" s="16">
        <f t="shared" si="11"/>
        <v>58.728279203999989</v>
      </c>
    </row>
    <row r="73" spans="1:17" x14ac:dyDescent="0.25">
      <c r="A73" s="3" t="s">
        <v>189</v>
      </c>
      <c r="B73" s="4" t="s">
        <v>190</v>
      </c>
      <c r="C73" s="12">
        <v>134</v>
      </c>
      <c r="D73" s="4" t="s">
        <v>191</v>
      </c>
      <c r="E73" s="4" t="s">
        <v>14</v>
      </c>
      <c r="F73" s="4" t="s">
        <v>33</v>
      </c>
      <c r="G73" s="4" t="s">
        <v>34</v>
      </c>
      <c r="H73" s="4" t="s">
        <v>35</v>
      </c>
      <c r="I73" s="4">
        <v>225.06</v>
      </c>
      <c r="J73" s="4" t="s">
        <v>191</v>
      </c>
      <c r="K73" s="4" t="s">
        <v>18</v>
      </c>
      <c r="L73" t="s">
        <v>189</v>
      </c>
      <c r="M73" s="9">
        <f t="shared" si="9"/>
        <v>162.63043999999999</v>
      </c>
      <c r="N73" t="s">
        <v>189</v>
      </c>
      <c r="O73" s="9">
        <v>281.34449999999998</v>
      </c>
      <c r="P73" s="9">
        <f t="shared" si="10"/>
        <v>118.71405999999999</v>
      </c>
      <c r="Q73" s="16">
        <f t="shared" si="11"/>
        <v>162.63043999999999</v>
      </c>
    </row>
    <row r="74" spans="1:17" x14ac:dyDescent="0.25">
      <c r="A74" s="3" t="s">
        <v>192</v>
      </c>
      <c r="B74" s="4" t="s">
        <v>193</v>
      </c>
      <c r="C74" s="12">
        <v>235</v>
      </c>
      <c r="D74" s="4" t="s">
        <v>191</v>
      </c>
      <c r="E74" s="4" t="s">
        <v>14</v>
      </c>
      <c r="F74" s="4" t="s">
        <v>33</v>
      </c>
      <c r="G74" s="4" t="s">
        <v>34</v>
      </c>
      <c r="H74" s="4" t="s">
        <v>35</v>
      </c>
      <c r="I74" s="4">
        <v>245.01</v>
      </c>
      <c r="J74" s="4" t="s">
        <v>191</v>
      </c>
      <c r="K74" s="4" t="s">
        <v>18</v>
      </c>
      <c r="L74" t="s">
        <v>192</v>
      </c>
      <c r="M74" s="9">
        <f t="shared" si="9"/>
        <v>285.21010000000001</v>
      </c>
      <c r="N74" t="s">
        <v>192</v>
      </c>
      <c r="O74" s="9">
        <v>306.2808</v>
      </c>
      <c r="P74" s="9">
        <f t="shared" si="10"/>
        <v>21.070699999999988</v>
      </c>
      <c r="Q74" s="16">
        <f t="shared" si="11"/>
        <v>285.21010000000001</v>
      </c>
    </row>
    <row r="75" spans="1:17" x14ac:dyDescent="0.25">
      <c r="A75" s="3" t="s">
        <v>194</v>
      </c>
      <c r="B75" s="4" t="s">
        <v>195</v>
      </c>
      <c r="C75" s="12">
        <v>250</v>
      </c>
      <c r="D75" s="4" t="s">
        <v>191</v>
      </c>
      <c r="E75" s="4" t="s">
        <v>14</v>
      </c>
      <c r="F75" s="4" t="s">
        <v>33</v>
      </c>
      <c r="G75" s="4" t="s">
        <v>34</v>
      </c>
      <c r="H75" s="4" t="s">
        <v>35</v>
      </c>
      <c r="I75" s="4">
        <v>262.5</v>
      </c>
      <c r="J75" s="4" t="s">
        <v>191</v>
      </c>
      <c r="K75" s="4" t="s">
        <v>18</v>
      </c>
      <c r="L75" t="s">
        <v>194</v>
      </c>
      <c r="M75" s="9">
        <f t="shared" si="9"/>
        <v>303.41499999999996</v>
      </c>
      <c r="N75" t="s">
        <v>194</v>
      </c>
      <c r="O75" s="9">
        <v>328.14769999999999</v>
      </c>
      <c r="P75" s="9">
        <f t="shared" si="10"/>
        <v>24.732700000000023</v>
      </c>
      <c r="Q75" s="16">
        <f t="shared" si="11"/>
        <v>303.41499999999996</v>
      </c>
    </row>
    <row r="76" spans="1:17" x14ac:dyDescent="0.25">
      <c r="A76" s="3" t="s">
        <v>196</v>
      </c>
      <c r="B76" s="4" t="s">
        <v>197</v>
      </c>
      <c r="C76" s="12">
        <v>138</v>
      </c>
      <c r="D76" s="4" t="s">
        <v>191</v>
      </c>
      <c r="E76" s="4" t="s">
        <v>14</v>
      </c>
      <c r="F76" s="4" t="s">
        <v>33</v>
      </c>
      <c r="G76" s="4" t="s">
        <v>34</v>
      </c>
      <c r="H76" s="4" t="s">
        <v>198</v>
      </c>
      <c r="I76" s="4">
        <v>295</v>
      </c>
      <c r="J76" s="4" t="s">
        <v>191</v>
      </c>
      <c r="K76" s="4" t="s">
        <v>18</v>
      </c>
      <c r="L76" t="s">
        <v>196</v>
      </c>
      <c r="M76" s="9">
        <f t="shared" si="9"/>
        <v>167.48507999999998</v>
      </c>
      <c r="N76" t="s">
        <v>196</v>
      </c>
      <c r="O76" s="9">
        <v>368.77089999999998</v>
      </c>
      <c r="P76" s="9">
        <f t="shared" si="10"/>
        <v>201.28582</v>
      </c>
      <c r="Q76" s="16">
        <f t="shared" si="11"/>
        <v>167.48507999999998</v>
      </c>
    </row>
    <row r="77" spans="1:17" x14ac:dyDescent="0.25">
      <c r="A77" s="3" t="s">
        <v>199</v>
      </c>
      <c r="B77" s="4" t="s">
        <v>200</v>
      </c>
      <c r="C77" s="12">
        <v>155</v>
      </c>
      <c r="D77" s="4" t="s">
        <v>191</v>
      </c>
      <c r="E77" s="4" t="s">
        <v>14</v>
      </c>
      <c r="F77" s="4" t="s">
        <v>33</v>
      </c>
      <c r="G77" s="4" t="s">
        <v>34</v>
      </c>
      <c r="H77" s="4" t="s">
        <v>35</v>
      </c>
      <c r="I77" s="4">
        <v>182</v>
      </c>
      <c r="J77" s="4" t="s">
        <v>191</v>
      </c>
      <c r="K77" s="4" t="s">
        <v>18</v>
      </c>
      <c r="L77" t="s">
        <v>199</v>
      </c>
      <c r="M77" s="9">
        <f t="shared" si="9"/>
        <v>188.1173</v>
      </c>
      <c r="N77" t="s">
        <v>199</v>
      </c>
      <c r="O77" s="9">
        <v>227.51669999999999</v>
      </c>
      <c r="P77" s="9">
        <f t="shared" si="10"/>
        <v>39.399399999999986</v>
      </c>
      <c r="Q77" s="16">
        <f t="shared" si="11"/>
        <v>188.1173</v>
      </c>
    </row>
    <row r="78" spans="1:17" x14ac:dyDescent="0.25">
      <c r="A78" s="3" t="s">
        <v>201</v>
      </c>
      <c r="B78" s="4" t="s">
        <v>202</v>
      </c>
      <c r="C78" s="12">
        <v>83</v>
      </c>
      <c r="D78" s="4" t="s">
        <v>191</v>
      </c>
      <c r="E78" s="4" t="s">
        <v>14</v>
      </c>
      <c r="F78" s="4" t="s">
        <v>33</v>
      </c>
      <c r="G78" s="4" t="s">
        <v>34</v>
      </c>
      <c r="H78" s="4" t="s">
        <v>35</v>
      </c>
      <c r="I78" s="4">
        <v>91.35</v>
      </c>
      <c r="J78" s="4" t="s">
        <v>191</v>
      </c>
      <c r="K78" s="4" t="s">
        <v>18</v>
      </c>
      <c r="L78" t="s">
        <v>201</v>
      </c>
      <c r="M78" s="9">
        <f t="shared" si="9"/>
        <v>100.73378</v>
      </c>
      <c r="N78" t="s">
        <v>201</v>
      </c>
      <c r="O78" s="9">
        <v>114.1961</v>
      </c>
      <c r="P78" s="9">
        <f t="shared" si="10"/>
        <v>13.462320000000005</v>
      </c>
      <c r="Q78" s="16">
        <f t="shared" si="11"/>
        <v>100.73378</v>
      </c>
    </row>
    <row r="79" spans="1:17" x14ac:dyDescent="0.25">
      <c r="A79" s="3" t="s">
        <v>203</v>
      </c>
      <c r="B79" s="4" t="s">
        <v>204</v>
      </c>
      <c r="C79" s="12">
        <v>158</v>
      </c>
      <c r="D79" s="4" t="s">
        <v>191</v>
      </c>
      <c r="E79" s="4" t="s">
        <v>14</v>
      </c>
      <c r="F79" s="4" t="s">
        <v>33</v>
      </c>
      <c r="G79" s="4" t="s">
        <v>34</v>
      </c>
      <c r="H79" s="4" t="s">
        <v>35</v>
      </c>
      <c r="I79" s="4">
        <v>146.79</v>
      </c>
      <c r="J79" s="4" t="s">
        <v>191</v>
      </c>
      <c r="K79" s="4" t="s">
        <v>18</v>
      </c>
      <c r="L79" t="s">
        <v>203</v>
      </c>
      <c r="M79" s="9">
        <f t="shared" si="9"/>
        <v>191.75827999999998</v>
      </c>
      <c r="N79" t="s">
        <v>203</v>
      </c>
      <c r="O79" s="9">
        <v>183.49449999999999</v>
      </c>
      <c r="P79" s="9">
        <f t="shared" si="10"/>
        <v>-8.263779999999997</v>
      </c>
      <c r="Q79" s="16">
        <f t="shared" si="11"/>
        <v>191.75827999999998</v>
      </c>
    </row>
    <row r="80" spans="1:17" x14ac:dyDescent="0.25">
      <c r="A80" s="3" t="s">
        <v>205</v>
      </c>
      <c r="B80" s="4" t="s">
        <v>206</v>
      </c>
      <c r="C80" s="12">
        <v>68</v>
      </c>
      <c r="D80" s="4" t="s">
        <v>191</v>
      </c>
      <c r="E80" s="4" t="s">
        <v>14</v>
      </c>
      <c r="F80" s="4" t="s">
        <v>33</v>
      </c>
      <c r="G80" s="4" t="s">
        <v>34</v>
      </c>
      <c r="H80" s="4" t="s">
        <v>35</v>
      </c>
      <c r="I80" s="4">
        <v>61.25</v>
      </c>
      <c r="J80" s="4" t="s">
        <v>191</v>
      </c>
      <c r="K80" s="4" t="s">
        <v>18</v>
      </c>
      <c r="L80" t="s">
        <v>205</v>
      </c>
      <c r="M80" s="9">
        <f t="shared" si="9"/>
        <v>82.528880000000001</v>
      </c>
      <c r="N80" t="s">
        <v>205</v>
      </c>
      <c r="O80" s="9">
        <v>76.5702</v>
      </c>
      <c r="P80" s="9">
        <f t="shared" si="10"/>
        <v>-5.9586800000000011</v>
      </c>
      <c r="Q80" s="16">
        <f t="shared" si="11"/>
        <v>82.528880000000001</v>
      </c>
    </row>
    <row r="81" spans="1:17" x14ac:dyDescent="0.25">
      <c r="A81" s="3" t="s">
        <v>207</v>
      </c>
      <c r="B81" s="4" t="s">
        <v>208</v>
      </c>
      <c r="C81" s="12">
        <v>128</v>
      </c>
      <c r="D81" s="4" t="s">
        <v>191</v>
      </c>
      <c r="E81" s="4" t="s">
        <v>14</v>
      </c>
      <c r="F81" s="4" t="s">
        <v>33</v>
      </c>
      <c r="G81" s="4" t="s">
        <v>34</v>
      </c>
      <c r="H81" s="4" t="s">
        <v>35</v>
      </c>
      <c r="I81" s="4">
        <v>122.33</v>
      </c>
      <c r="J81" s="4" t="s">
        <v>191</v>
      </c>
      <c r="K81" s="4" t="s">
        <v>18</v>
      </c>
      <c r="L81" t="s">
        <v>207</v>
      </c>
      <c r="M81" s="9">
        <f t="shared" si="9"/>
        <v>155.34848</v>
      </c>
      <c r="N81" t="s">
        <v>207</v>
      </c>
      <c r="O81" s="9">
        <v>152.92410000000001</v>
      </c>
      <c r="P81" s="9">
        <f t="shared" si="10"/>
        <v>-2.4243799999999851</v>
      </c>
      <c r="Q81" s="16">
        <f t="shared" si="11"/>
        <v>155.34848</v>
      </c>
    </row>
    <row r="82" spans="1:17" x14ac:dyDescent="0.25">
      <c r="A82" s="3" t="s">
        <v>209</v>
      </c>
      <c r="B82" s="4" t="s">
        <v>210</v>
      </c>
      <c r="C82" s="12">
        <v>234</v>
      </c>
      <c r="D82" s="4" t="s">
        <v>191</v>
      </c>
      <c r="E82" s="4" t="s">
        <v>14</v>
      </c>
      <c r="F82" s="4" t="s">
        <v>33</v>
      </c>
      <c r="G82" s="4" t="s">
        <v>34</v>
      </c>
      <c r="H82" s="4" t="s">
        <v>35</v>
      </c>
      <c r="I82" s="4">
        <v>244.65</v>
      </c>
      <c r="J82" s="4" t="s">
        <v>191</v>
      </c>
      <c r="K82" s="4" t="s">
        <v>18</v>
      </c>
      <c r="L82" t="s">
        <v>209</v>
      </c>
      <c r="M82" s="9">
        <f t="shared" si="9"/>
        <v>283.99644000000001</v>
      </c>
      <c r="N82" t="s">
        <v>209</v>
      </c>
      <c r="O82" s="9">
        <v>305.82760000000002</v>
      </c>
      <c r="P82" s="9">
        <f t="shared" si="10"/>
        <v>21.831160000000011</v>
      </c>
      <c r="Q82" s="16">
        <f t="shared" si="11"/>
        <v>283.99644000000001</v>
      </c>
    </row>
    <row r="83" spans="1:17" x14ac:dyDescent="0.25">
      <c r="A83" s="3" t="s">
        <v>211</v>
      </c>
      <c r="B83" s="4" t="s">
        <v>212</v>
      </c>
      <c r="C83" s="12">
        <v>135</v>
      </c>
      <c r="D83" s="4" t="s">
        <v>191</v>
      </c>
      <c r="E83" s="4" t="s">
        <v>14</v>
      </c>
      <c r="F83" s="4" t="s">
        <v>33</v>
      </c>
      <c r="G83" s="4" t="s">
        <v>34</v>
      </c>
      <c r="H83" s="4" t="s">
        <v>35</v>
      </c>
      <c r="I83" s="4">
        <v>162.75</v>
      </c>
      <c r="J83" s="4" t="s">
        <v>191</v>
      </c>
      <c r="K83" s="4" t="s">
        <v>18</v>
      </c>
      <c r="L83" t="s">
        <v>211</v>
      </c>
      <c r="M83" s="9">
        <f t="shared" si="9"/>
        <v>163.8441</v>
      </c>
      <c r="N83" t="s">
        <v>211</v>
      </c>
      <c r="O83" s="9">
        <v>203.44560000000001</v>
      </c>
      <c r="P83" s="9">
        <f t="shared" si="10"/>
        <v>39.601500000000016</v>
      </c>
      <c r="Q83" s="16">
        <f t="shared" si="11"/>
        <v>163.8441</v>
      </c>
    </row>
    <row r="84" spans="1:17" x14ac:dyDescent="0.25">
      <c r="A84" s="3" t="s">
        <v>213</v>
      </c>
      <c r="B84" s="4" t="s">
        <v>214</v>
      </c>
      <c r="C84" s="12">
        <v>135</v>
      </c>
      <c r="D84" s="4" t="s">
        <v>191</v>
      </c>
      <c r="E84" s="4" t="s">
        <v>14</v>
      </c>
      <c r="F84" s="4" t="s">
        <v>33</v>
      </c>
      <c r="G84" s="4" t="s">
        <v>34</v>
      </c>
      <c r="H84" s="4" t="s">
        <v>35</v>
      </c>
      <c r="I84" s="4">
        <v>140.69999999999999</v>
      </c>
      <c r="J84" s="4" t="s">
        <v>191</v>
      </c>
      <c r="K84" s="4" t="s">
        <v>18</v>
      </c>
      <c r="L84" t="s">
        <v>213</v>
      </c>
      <c r="M84" s="9">
        <f t="shared" si="9"/>
        <v>163.8441</v>
      </c>
      <c r="N84" t="s">
        <v>213</v>
      </c>
      <c r="O84" s="9">
        <v>175.8828</v>
      </c>
      <c r="P84" s="9">
        <f t="shared" si="10"/>
        <v>12.038700000000006</v>
      </c>
      <c r="Q84" s="16">
        <f t="shared" si="11"/>
        <v>163.8441</v>
      </c>
    </row>
    <row r="85" spans="1:17" x14ac:dyDescent="0.25">
      <c r="A85" s="3" t="s">
        <v>215</v>
      </c>
      <c r="B85" s="4" t="s">
        <v>216</v>
      </c>
      <c r="C85" s="12">
        <v>235</v>
      </c>
      <c r="D85" s="4" t="s">
        <v>191</v>
      </c>
      <c r="E85" s="4" t="s">
        <v>14</v>
      </c>
      <c r="F85" s="4" t="s">
        <v>33</v>
      </c>
      <c r="G85" s="4" t="s">
        <v>34</v>
      </c>
      <c r="H85" s="4" t="s">
        <v>35</v>
      </c>
      <c r="I85" s="4">
        <v>245.7</v>
      </c>
      <c r="J85" s="4" t="s">
        <v>191</v>
      </c>
      <c r="K85" s="4" t="s">
        <v>18</v>
      </c>
      <c r="L85" t="s">
        <v>215</v>
      </c>
      <c r="M85" s="9">
        <f t="shared" si="9"/>
        <v>285.21010000000001</v>
      </c>
      <c r="N85" t="s">
        <v>215</v>
      </c>
      <c r="O85" s="9">
        <v>307.14600000000002</v>
      </c>
      <c r="P85" s="9">
        <f t="shared" si="10"/>
        <v>21.935900000000004</v>
      </c>
      <c r="Q85" s="16">
        <f t="shared" si="11"/>
        <v>285.21010000000001</v>
      </c>
    </row>
    <row r="86" spans="1:17" x14ac:dyDescent="0.25">
      <c r="A86" s="3" t="s">
        <v>217</v>
      </c>
      <c r="B86" s="4" t="s">
        <v>218</v>
      </c>
      <c r="C86" s="12">
        <v>180</v>
      </c>
      <c r="D86" s="4" t="s">
        <v>191</v>
      </c>
      <c r="E86" s="4" t="s">
        <v>14</v>
      </c>
      <c r="F86" s="4" t="s">
        <v>33</v>
      </c>
      <c r="G86" s="4" t="s">
        <v>34</v>
      </c>
      <c r="H86" s="4" t="s">
        <v>35</v>
      </c>
      <c r="I86" s="4">
        <v>189</v>
      </c>
      <c r="J86" s="4" t="s">
        <v>191</v>
      </c>
      <c r="K86" s="4" t="s">
        <v>18</v>
      </c>
      <c r="L86" t="s">
        <v>217</v>
      </c>
      <c r="M86" s="9">
        <f t="shared" si="9"/>
        <v>218.4588</v>
      </c>
      <c r="N86" t="s">
        <v>217</v>
      </c>
      <c r="O86" s="9">
        <v>236.26140000000001</v>
      </c>
      <c r="P86" s="9">
        <f t="shared" si="10"/>
        <v>17.802600000000012</v>
      </c>
      <c r="Q86" s="16">
        <f t="shared" si="11"/>
        <v>218.4588</v>
      </c>
    </row>
    <row r="87" spans="1:17" x14ac:dyDescent="0.25">
      <c r="A87" s="3" t="s">
        <v>219</v>
      </c>
      <c r="B87" s="4" t="s">
        <v>220</v>
      </c>
      <c r="C87" s="12">
        <v>150</v>
      </c>
      <c r="D87" s="4" t="s">
        <v>191</v>
      </c>
      <c r="E87" s="4" t="s">
        <v>14</v>
      </c>
      <c r="F87" s="4" t="s">
        <v>33</v>
      </c>
      <c r="G87" s="4" t="s">
        <v>34</v>
      </c>
      <c r="H87" s="4" t="s">
        <v>35</v>
      </c>
      <c r="I87" s="4">
        <v>157.5</v>
      </c>
      <c r="J87" s="4" t="s">
        <v>191</v>
      </c>
      <c r="K87" s="4" t="s">
        <v>18</v>
      </c>
      <c r="L87" t="s">
        <v>219</v>
      </c>
      <c r="M87" s="9">
        <f t="shared" si="9"/>
        <v>182.04900000000001</v>
      </c>
      <c r="N87" t="s">
        <v>219</v>
      </c>
      <c r="O87" s="9">
        <v>196.8845</v>
      </c>
      <c r="P87" s="9">
        <f t="shared" si="10"/>
        <v>14.835499999999996</v>
      </c>
      <c r="Q87" s="16">
        <f t="shared" si="11"/>
        <v>182.04900000000001</v>
      </c>
    </row>
    <row r="88" spans="1:17" x14ac:dyDescent="0.25">
      <c r="A88" s="3" t="s">
        <v>221</v>
      </c>
      <c r="B88" s="4" t="s">
        <v>222</v>
      </c>
      <c r="C88" s="12">
        <v>200</v>
      </c>
      <c r="D88" s="4" t="s">
        <v>191</v>
      </c>
      <c r="E88" s="4" t="s">
        <v>14</v>
      </c>
      <c r="F88" s="4" t="s">
        <v>33</v>
      </c>
      <c r="G88" s="4" t="s">
        <v>34</v>
      </c>
      <c r="H88" s="4" t="s">
        <v>198</v>
      </c>
      <c r="I88" s="4">
        <v>215.25</v>
      </c>
      <c r="J88" s="4" t="s">
        <v>191</v>
      </c>
      <c r="K88" s="4" t="s">
        <v>18</v>
      </c>
      <c r="L88" t="s">
        <v>221</v>
      </c>
      <c r="M88" s="9">
        <f t="shared" si="9"/>
        <v>242.732</v>
      </c>
      <c r="N88" t="s">
        <v>221</v>
      </c>
      <c r="O88" s="9">
        <v>269.0772</v>
      </c>
      <c r="P88" s="9">
        <f t="shared" si="10"/>
        <v>26.345200000000006</v>
      </c>
      <c r="Q88" s="16">
        <f t="shared" si="11"/>
        <v>242.732</v>
      </c>
    </row>
    <row r="89" spans="1:17" x14ac:dyDescent="0.25">
      <c r="A89" s="3" t="s">
        <v>223</v>
      </c>
      <c r="B89" s="4" t="s">
        <v>224</v>
      </c>
      <c r="C89" s="12">
        <v>210</v>
      </c>
      <c r="D89" s="4" t="s">
        <v>191</v>
      </c>
      <c r="E89" s="4" t="s">
        <v>14</v>
      </c>
      <c r="F89" s="4" t="s">
        <v>33</v>
      </c>
      <c r="G89" s="4" t="s">
        <v>34</v>
      </c>
      <c r="H89" s="4" t="s">
        <v>35</v>
      </c>
      <c r="I89" s="4">
        <v>193.2</v>
      </c>
      <c r="J89" s="4" t="s">
        <v>191</v>
      </c>
      <c r="K89" s="4" t="s">
        <v>18</v>
      </c>
      <c r="L89" t="s">
        <v>223</v>
      </c>
      <c r="M89" s="9">
        <f t="shared" si="9"/>
        <v>254.86859999999999</v>
      </c>
      <c r="N89">
        <v>0</v>
      </c>
      <c r="O89" s="9">
        <v>0</v>
      </c>
      <c r="P89" s="9">
        <f t="shared" si="10"/>
        <v>-254.86859999999999</v>
      </c>
      <c r="Q89" s="16">
        <f t="shared" si="11"/>
        <v>254.86859999999999</v>
      </c>
    </row>
    <row r="90" spans="1:17" x14ac:dyDescent="0.25">
      <c r="A90" s="3" t="s">
        <v>225</v>
      </c>
      <c r="B90" s="4" t="s">
        <v>226</v>
      </c>
      <c r="C90" s="12">
        <v>177</v>
      </c>
      <c r="D90" s="4" t="s">
        <v>191</v>
      </c>
      <c r="E90" s="4" t="s">
        <v>14</v>
      </c>
      <c r="F90" s="4" t="s">
        <v>33</v>
      </c>
      <c r="G90" s="4" t="s">
        <v>34</v>
      </c>
      <c r="H90" s="4" t="s">
        <v>35</v>
      </c>
      <c r="I90" s="4">
        <v>180.24</v>
      </c>
      <c r="J90" s="4" t="s">
        <v>191</v>
      </c>
      <c r="K90" s="4" t="s">
        <v>18</v>
      </c>
      <c r="L90" t="s">
        <v>225</v>
      </c>
      <c r="M90" s="9">
        <f t="shared" si="9"/>
        <v>214.81781999999998</v>
      </c>
      <c r="N90" t="s">
        <v>225</v>
      </c>
      <c r="O90" s="9">
        <v>225.3125</v>
      </c>
      <c r="P90" s="9">
        <f t="shared" si="10"/>
        <v>10.494680000000017</v>
      </c>
      <c r="Q90" s="16">
        <f t="shared" si="11"/>
        <v>214.81781999999998</v>
      </c>
    </row>
    <row r="91" spans="1:17" x14ac:dyDescent="0.25">
      <c r="A91" s="3" t="s">
        <v>227</v>
      </c>
      <c r="B91" s="4" t="s">
        <v>228</v>
      </c>
      <c r="C91" s="12">
        <v>30.23</v>
      </c>
      <c r="D91" s="4" t="s">
        <v>191</v>
      </c>
      <c r="E91" s="4" t="s">
        <v>14</v>
      </c>
      <c r="F91" s="4" t="s">
        <v>33</v>
      </c>
      <c r="G91" s="4" t="s">
        <v>34</v>
      </c>
      <c r="H91" s="4" t="s">
        <v>35</v>
      </c>
      <c r="I91" s="4">
        <v>29.4</v>
      </c>
      <c r="J91" s="4" t="s">
        <v>191</v>
      </c>
      <c r="K91" s="4" t="s">
        <v>18</v>
      </c>
      <c r="L91" t="s">
        <v>227</v>
      </c>
      <c r="M91" s="9">
        <f t="shared" si="9"/>
        <v>36.688941800000002</v>
      </c>
      <c r="N91" t="s">
        <v>227</v>
      </c>
      <c r="O91" s="9">
        <v>36.750399999999999</v>
      </c>
      <c r="P91" s="9">
        <f t="shared" si="10"/>
        <v>6.1458199999997021E-2</v>
      </c>
      <c r="Q91" s="16">
        <f t="shared" si="11"/>
        <v>36.688941800000002</v>
      </c>
    </row>
    <row r="92" spans="1:17" x14ac:dyDescent="0.25">
      <c r="A92" s="3" t="s">
        <v>229</v>
      </c>
      <c r="B92" s="4" t="s">
        <v>230</v>
      </c>
      <c r="C92" s="12">
        <f>I92*3%+I92</f>
        <v>156.5188</v>
      </c>
      <c r="D92" s="4" t="s">
        <v>13</v>
      </c>
      <c r="E92" s="4" t="s">
        <v>14</v>
      </c>
      <c r="F92" s="4" t="s">
        <v>33</v>
      </c>
      <c r="G92" s="4" t="s">
        <v>34</v>
      </c>
      <c r="H92" s="4" t="s">
        <v>231</v>
      </c>
      <c r="I92" s="4">
        <v>151.96</v>
      </c>
      <c r="J92" s="4" t="s">
        <v>13</v>
      </c>
      <c r="K92" s="4" t="s">
        <v>18</v>
      </c>
      <c r="L92" t="s">
        <v>229</v>
      </c>
      <c r="M92" s="9">
        <f t="shared" si="9"/>
        <v>189.96060680799999</v>
      </c>
      <c r="N92">
        <v>0</v>
      </c>
      <c r="O92" s="9">
        <v>0</v>
      </c>
      <c r="P92" s="9">
        <f t="shared" si="10"/>
        <v>-189.96060680799999</v>
      </c>
      <c r="Q92" s="16">
        <f t="shared" si="11"/>
        <v>189.96060680799999</v>
      </c>
    </row>
    <row r="93" spans="1:17" x14ac:dyDescent="0.25">
      <c r="A93" s="3" t="s">
        <v>232</v>
      </c>
      <c r="B93" s="4" t="s">
        <v>233</v>
      </c>
      <c r="C93" s="12">
        <f t="shared" ref="C93:C97" si="12">I93*3%+I93</f>
        <v>86.52</v>
      </c>
      <c r="D93" s="4" t="s">
        <v>13</v>
      </c>
      <c r="E93" s="4" t="s">
        <v>23</v>
      </c>
      <c r="F93" s="4" t="s">
        <v>49</v>
      </c>
      <c r="G93" s="4" t="s">
        <v>50</v>
      </c>
      <c r="H93" s="4" t="s">
        <v>50</v>
      </c>
      <c r="I93" s="4">
        <v>84</v>
      </c>
      <c r="J93" s="4" t="s">
        <v>13</v>
      </c>
      <c r="K93" s="4" t="s">
        <v>18</v>
      </c>
      <c r="L93" t="s">
        <v>232</v>
      </c>
      <c r="M93" s="9">
        <f t="shared" si="9"/>
        <v>105.00586319999999</v>
      </c>
      <c r="N93">
        <v>0</v>
      </c>
      <c r="O93" s="9">
        <v>0</v>
      </c>
      <c r="P93" s="9">
        <f t="shared" si="10"/>
        <v>-105.00586319999999</v>
      </c>
      <c r="Q93" s="16">
        <f t="shared" si="11"/>
        <v>105.00586319999999</v>
      </c>
    </row>
    <row r="94" spans="1:17" x14ac:dyDescent="0.25">
      <c r="A94" s="3" t="s">
        <v>234</v>
      </c>
      <c r="B94" s="4" t="s">
        <v>235</v>
      </c>
      <c r="C94" s="12">
        <f t="shared" si="12"/>
        <v>52.900799999999997</v>
      </c>
      <c r="D94" s="4" t="s">
        <v>111</v>
      </c>
      <c r="E94" s="4" t="s">
        <v>14</v>
      </c>
      <c r="F94" s="4" t="s">
        <v>44</v>
      </c>
      <c r="G94" s="4" t="s">
        <v>45</v>
      </c>
      <c r="H94" s="4" t="s">
        <v>46</v>
      </c>
      <c r="I94" s="4">
        <v>51.36</v>
      </c>
      <c r="J94" s="4" t="s">
        <v>111</v>
      </c>
      <c r="K94" s="4" t="s">
        <v>18</v>
      </c>
      <c r="L94" t="s">
        <v>234</v>
      </c>
      <c r="M94" s="9">
        <f t="shared" si="9"/>
        <v>64.203584927999998</v>
      </c>
      <c r="N94">
        <v>0</v>
      </c>
      <c r="O94" s="9">
        <v>0</v>
      </c>
      <c r="P94" s="9">
        <f t="shared" si="10"/>
        <v>-64.203584927999998</v>
      </c>
      <c r="Q94" s="16">
        <f t="shared" si="11"/>
        <v>64.203584927999998</v>
      </c>
    </row>
    <row r="95" spans="1:17" x14ac:dyDescent="0.25">
      <c r="A95" s="3" t="s">
        <v>236</v>
      </c>
      <c r="B95" s="4" t="s">
        <v>237</v>
      </c>
      <c r="C95" s="12">
        <f t="shared" si="12"/>
        <v>1.0815000000000001</v>
      </c>
      <c r="D95" s="4" t="s">
        <v>13</v>
      </c>
      <c r="E95" s="4" t="s">
        <v>14</v>
      </c>
      <c r="F95" s="4" t="s">
        <v>33</v>
      </c>
      <c r="G95" s="4" t="s">
        <v>34</v>
      </c>
      <c r="H95" s="4" t="s">
        <v>76</v>
      </c>
      <c r="I95" s="4">
        <v>1.05</v>
      </c>
      <c r="J95" s="4" t="s">
        <v>13</v>
      </c>
      <c r="K95" s="4" t="s">
        <v>18</v>
      </c>
      <c r="L95" t="s">
        <v>236</v>
      </c>
      <c r="M95" s="9">
        <f t="shared" si="9"/>
        <v>1.31257329</v>
      </c>
      <c r="N95" t="s">
        <v>236</v>
      </c>
      <c r="O95" s="9">
        <v>1.3081</v>
      </c>
      <c r="P95" s="9">
        <f t="shared" si="10"/>
        <v>-4.4732899999999631E-3</v>
      </c>
      <c r="Q95" s="16">
        <f t="shared" si="11"/>
        <v>1.31257329</v>
      </c>
    </row>
    <row r="96" spans="1:17" x14ac:dyDescent="0.25">
      <c r="A96" s="3" t="s">
        <v>238</v>
      </c>
      <c r="B96" s="4" t="s">
        <v>239</v>
      </c>
      <c r="C96" s="12">
        <f t="shared" si="12"/>
        <v>0</v>
      </c>
      <c r="D96" s="4" t="s">
        <v>13</v>
      </c>
      <c r="E96" s="4" t="s">
        <v>14</v>
      </c>
      <c r="F96" s="4" t="s">
        <v>15</v>
      </c>
      <c r="G96" s="4" t="s">
        <v>16</v>
      </c>
      <c r="H96" s="4" t="s">
        <v>17</v>
      </c>
      <c r="I96" s="4"/>
      <c r="J96" s="4" t="s">
        <v>13</v>
      </c>
      <c r="K96" s="4" t="s">
        <v>18</v>
      </c>
      <c r="L96">
        <v>0</v>
      </c>
      <c r="M96" s="9">
        <f t="shared" si="9"/>
        <v>0</v>
      </c>
      <c r="N96">
        <v>0</v>
      </c>
      <c r="O96" s="9">
        <v>0</v>
      </c>
      <c r="P96" s="9">
        <f t="shared" si="10"/>
        <v>0</v>
      </c>
      <c r="Q96" s="16">
        <f t="shared" si="11"/>
        <v>0</v>
      </c>
    </row>
    <row r="97" spans="1:17" x14ac:dyDescent="0.25">
      <c r="A97" s="3" t="s">
        <v>240</v>
      </c>
      <c r="B97" s="4" t="s">
        <v>241</v>
      </c>
      <c r="C97" s="12">
        <f t="shared" si="12"/>
        <v>0</v>
      </c>
      <c r="D97" s="4" t="s">
        <v>242</v>
      </c>
      <c r="E97" s="4" t="s">
        <v>23</v>
      </c>
      <c r="F97" s="4" t="s">
        <v>49</v>
      </c>
      <c r="G97" s="4" t="s">
        <v>50</v>
      </c>
      <c r="H97" s="4" t="s">
        <v>50</v>
      </c>
      <c r="I97" s="4"/>
      <c r="J97" s="4" t="s">
        <v>242</v>
      </c>
      <c r="K97" s="4" t="s">
        <v>18</v>
      </c>
      <c r="L97">
        <v>0</v>
      </c>
      <c r="M97" s="9">
        <f t="shared" si="9"/>
        <v>0</v>
      </c>
      <c r="N97">
        <v>0</v>
      </c>
      <c r="O97" s="9">
        <v>0</v>
      </c>
      <c r="P97" s="9">
        <f t="shared" si="10"/>
        <v>0</v>
      </c>
      <c r="Q97" s="16">
        <f t="shared" si="11"/>
        <v>0</v>
      </c>
    </row>
    <row r="98" spans="1:17" customFormat="1" x14ac:dyDescent="0.25">
      <c r="A98" s="3">
        <v>64620</v>
      </c>
      <c r="B98" s="4" t="s">
        <v>243</v>
      </c>
      <c r="C98" s="13">
        <v>32.96</v>
      </c>
      <c r="D98" s="4" t="s">
        <v>32</v>
      </c>
      <c r="E98" s="4" t="s">
        <v>244</v>
      </c>
      <c r="F98" s="4" t="s">
        <v>245</v>
      </c>
      <c r="G98" s="4" t="s">
        <v>246</v>
      </c>
      <c r="H98" s="4" t="s">
        <v>247</v>
      </c>
      <c r="I98" s="4">
        <v>32</v>
      </c>
      <c r="J98" s="4" t="s">
        <v>32</v>
      </c>
      <c r="K98" s="4" t="s">
        <v>18</v>
      </c>
      <c r="L98">
        <v>64620</v>
      </c>
      <c r="M98" s="10">
        <f t="shared" si="9"/>
        <v>40.002233599999997</v>
      </c>
      <c r="N98">
        <v>0</v>
      </c>
      <c r="O98" s="10">
        <v>0</v>
      </c>
      <c r="P98" s="10">
        <f t="shared" si="10"/>
        <v>-40.002233599999997</v>
      </c>
      <c r="Q98" s="16">
        <f t="shared" si="11"/>
        <v>40.002233599999997</v>
      </c>
    </row>
    <row r="99" spans="1:17" x14ac:dyDescent="0.25">
      <c r="A99" s="3" t="s">
        <v>248</v>
      </c>
      <c r="B99" s="4" t="s">
        <v>249</v>
      </c>
      <c r="C99" s="12">
        <f>I99*3%+I99</f>
        <v>189.52</v>
      </c>
      <c r="D99" s="4" t="s">
        <v>191</v>
      </c>
      <c r="E99" s="4" t="s">
        <v>14</v>
      </c>
      <c r="F99" s="4" t="s">
        <v>33</v>
      </c>
      <c r="G99" s="4" t="s">
        <v>34</v>
      </c>
      <c r="H99" s="4" t="s">
        <v>250</v>
      </c>
      <c r="I99" s="4">
        <v>184</v>
      </c>
      <c r="J99" s="4" t="s">
        <v>191</v>
      </c>
      <c r="K99" s="4" t="s">
        <v>18</v>
      </c>
      <c r="L99" t="s">
        <v>248</v>
      </c>
      <c r="M99" s="9">
        <f t="shared" si="9"/>
        <v>230.01284319999999</v>
      </c>
      <c r="N99">
        <v>0</v>
      </c>
      <c r="O99" s="9">
        <v>0</v>
      </c>
      <c r="P99" s="9">
        <f t="shared" si="10"/>
        <v>-230.01284319999999</v>
      </c>
      <c r="Q99" s="16">
        <f t="shared" si="11"/>
        <v>230.01284319999999</v>
      </c>
    </row>
    <row r="100" spans="1:17" x14ac:dyDescent="0.25">
      <c r="A100" s="3" t="s">
        <v>251</v>
      </c>
      <c r="B100" s="4" t="s">
        <v>252</v>
      </c>
      <c r="C100" s="12">
        <f t="shared" ref="C100:C108" si="13">I100*3%+I100</f>
        <v>70.297499999999999</v>
      </c>
      <c r="D100" s="4" t="s">
        <v>13</v>
      </c>
      <c r="E100" s="4" t="s">
        <v>14</v>
      </c>
      <c r="F100" s="4" t="s">
        <v>33</v>
      </c>
      <c r="G100" s="4" t="s">
        <v>34</v>
      </c>
      <c r="H100" s="4" t="s">
        <v>76</v>
      </c>
      <c r="I100" s="4">
        <v>68.25</v>
      </c>
      <c r="J100" s="4" t="s">
        <v>13</v>
      </c>
      <c r="K100" s="4" t="s">
        <v>18</v>
      </c>
      <c r="L100" t="s">
        <v>251</v>
      </c>
      <c r="M100" s="9">
        <f t="shared" si="9"/>
        <v>85.317263850000003</v>
      </c>
      <c r="N100" t="s">
        <v>251</v>
      </c>
      <c r="O100" s="9">
        <v>85.314899999999994</v>
      </c>
      <c r="P100" s="9">
        <f t="shared" si="10"/>
        <v>-2.363850000008938E-3</v>
      </c>
      <c r="Q100" s="16">
        <f t="shared" si="11"/>
        <v>85.317263850000003</v>
      </c>
    </row>
    <row r="101" spans="1:17" x14ac:dyDescent="0.25">
      <c r="A101" s="3" t="s">
        <v>253</v>
      </c>
      <c r="B101" s="4" t="s">
        <v>254</v>
      </c>
      <c r="C101" s="12">
        <f t="shared" si="13"/>
        <v>8.8580000000000005</v>
      </c>
      <c r="D101" s="4" t="s">
        <v>124</v>
      </c>
      <c r="E101" s="4" t="s">
        <v>14</v>
      </c>
      <c r="F101" s="4" t="s">
        <v>15</v>
      </c>
      <c r="G101" s="4" t="s">
        <v>16</v>
      </c>
      <c r="H101" s="4" t="s">
        <v>17</v>
      </c>
      <c r="I101" s="4">
        <v>8.6</v>
      </c>
      <c r="J101" s="4" t="s">
        <v>124</v>
      </c>
      <c r="K101" s="4" t="s">
        <v>18</v>
      </c>
      <c r="L101" t="s">
        <v>253</v>
      </c>
      <c r="M101" s="9">
        <f t="shared" si="9"/>
        <v>10.75060028</v>
      </c>
      <c r="N101">
        <v>0</v>
      </c>
      <c r="O101" s="9">
        <v>0</v>
      </c>
      <c r="P101" s="9">
        <f t="shared" si="10"/>
        <v>-10.75060028</v>
      </c>
      <c r="Q101" s="16">
        <f t="shared" si="11"/>
        <v>10.75060028</v>
      </c>
    </row>
    <row r="102" spans="1:17" x14ac:dyDescent="0.25">
      <c r="A102" s="3" t="s">
        <v>255</v>
      </c>
      <c r="B102" s="4" t="s">
        <v>256</v>
      </c>
      <c r="C102" s="12">
        <f t="shared" si="13"/>
        <v>8.8580000000000005</v>
      </c>
      <c r="D102" s="4" t="s">
        <v>124</v>
      </c>
      <c r="E102" s="4" t="s">
        <v>14</v>
      </c>
      <c r="F102" s="4" t="s">
        <v>15</v>
      </c>
      <c r="G102" s="4" t="s">
        <v>16</v>
      </c>
      <c r="H102" s="4" t="s">
        <v>17</v>
      </c>
      <c r="I102" s="4">
        <v>8.6</v>
      </c>
      <c r="J102" s="4" t="s">
        <v>124</v>
      </c>
      <c r="K102" s="4" t="s">
        <v>18</v>
      </c>
      <c r="L102" t="s">
        <v>255</v>
      </c>
      <c r="M102" s="9">
        <f t="shared" si="9"/>
        <v>10.75060028</v>
      </c>
      <c r="N102">
        <v>0</v>
      </c>
      <c r="O102" s="9">
        <v>0</v>
      </c>
      <c r="P102" s="9">
        <f t="shared" si="10"/>
        <v>-10.75060028</v>
      </c>
      <c r="Q102" s="16">
        <f t="shared" si="11"/>
        <v>10.75060028</v>
      </c>
    </row>
    <row r="103" spans="1:17" x14ac:dyDescent="0.25">
      <c r="A103" s="3" t="s">
        <v>257</v>
      </c>
      <c r="B103" s="4" t="s">
        <v>258</v>
      </c>
      <c r="C103" s="12">
        <f t="shared" si="13"/>
        <v>35.534999999999997</v>
      </c>
      <c r="D103" s="4" t="s">
        <v>111</v>
      </c>
      <c r="E103" s="4" t="s">
        <v>14</v>
      </c>
      <c r="F103" s="4" t="s">
        <v>15</v>
      </c>
      <c r="G103" s="4" t="s">
        <v>16</v>
      </c>
      <c r="H103" s="4" t="s">
        <v>17</v>
      </c>
      <c r="I103" s="4">
        <v>34.5</v>
      </c>
      <c r="J103" s="4" t="s">
        <v>111</v>
      </c>
      <c r="K103" s="4" t="s">
        <v>18</v>
      </c>
      <c r="L103" t="s">
        <v>257</v>
      </c>
      <c r="M103" s="9">
        <f t="shared" si="9"/>
        <v>43.127408099999997</v>
      </c>
      <c r="N103">
        <v>0</v>
      </c>
      <c r="O103" s="9">
        <v>0</v>
      </c>
      <c r="P103" s="9">
        <f t="shared" si="10"/>
        <v>-43.127408099999997</v>
      </c>
      <c r="Q103" s="16">
        <f t="shared" si="11"/>
        <v>43.127408099999997</v>
      </c>
    </row>
    <row r="104" spans="1:17" x14ac:dyDescent="0.25">
      <c r="A104" s="3" t="s">
        <v>259</v>
      </c>
      <c r="B104" s="4" t="s">
        <v>260</v>
      </c>
      <c r="C104" s="12">
        <f t="shared" si="13"/>
        <v>45.113999999999997</v>
      </c>
      <c r="D104" s="4" t="s">
        <v>111</v>
      </c>
      <c r="E104" s="4" t="s">
        <v>14</v>
      </c>
      <c r="F104" s="4" t="s">
        <v>15</v>
      </c>
      <c r="G104" s="4" t="s">
        <v>16</v>
      </c>
      <c r="H104" s="4" t="s">
        <v>17</v>
      </c>
      <c r="I104" s="4">
        <v>43.8</v>
      </c>
      <c r="J104" s="4" t="s">
        <v>111</v>
      </c>
      <c r="K104" s="4" t="s">
        <v>18</v>
      </c>
      <c r="L104" t="s">
        <v>259</v>
      </c>
      <c r="M104" s="9">
        <f t="shared" si="9"/>
        <v>54.753057239999997</v>
      </c>
      <c r="N104">
        <v>0</v>
      </c>
      <c r="O104" s="9">
        <v>0</v>
      </c>
      <c r="P104" s="9">
        <f t="shared" si="10"/>
        <v>-54.753057239999997</v>
      </c>
      <c r="Q104" s="16">
        <f t="shared" si="11"/>
        <v>54.753057239999997</v>
      </c>
    </row>
    <row r="105" spans="1:17" x14ac:dyDescent="0.25">
      <c r="A105" s="3" t="s">
        <v>261</v>
      </c>
      <c r="B105" s="4" t="s">
        <v>262</v>
      </c>
      <c r="C105" s="12">
        <f t="shared" si="13"/>
        <v>155.2004</v>
      </c>
      <c r="D105" s="4" t="s">
        <v>242</v>
      </c>
      <c r="E105" s="4" t="s">
        <v>14</v>
      </c>
      <c r="F105" s="4" t="s">
        <v>15</v>
      </c>
      <c r="G105" s="4" t="s">
        <v>16</v>
      </c>
      <c r="H105" s="4" t="s">
        <v>17</v>
      </c>
      <c r="I105" s="4">
        <v>150.68</v>
      </c>
      <c r="J105" s="4" t="s">
        <v>242</v>
      </c>
      <c r="K105" s="4" t="s">
        <v>18</v>
      </c>
      <c r="L105" t="s">
        <v>261</v>
      </c>
      <c r="M105" s="9">
        <f t="shared" si="9"/>
        <v>188.360517464</v>
      </c>
      <c r="N105" t="s">
        <v>261</v>
      </c>
      <c r="O105" s="9">
        <v>188.3561</v>
      </c>
      <c r="P105" s="9">
        <f t="shared" si="10"/>
        <v>-4.417463999999427E-3</v>
      </c>
      <c r="Q105" s="16">
        <f t="shared" si="11"/>
        <v>188.360517464</v>
      </c>
    </row>
    <row r="106" spans="1:17" x14ac:dyDescent="0.25">
      <c r="A106" s="3" t="s">
        <v>263</v>
      </c>
      <c r="B106" s="4" t="s">
        <v>264</v>
      </c>
      <c r="C106" s="12">
        <f t="shared" si="13"/>
        <v>180.25</v>
      </c>
      <c r="D106" s="4" t="s">
        <v>111</v>
      </c>
      <c r="E106" s="4" t="s">
        <v>14</v>
      </c>
      <c r="F106" s="4" t="s">
        <v>33</v>
      </c>
      <c r="G106" s="4" t="s">
        <v>34</v>
      </c>
      <c r="H106" s="4" t="s">
        <v>265</v>
      </c>
      <c r="I106" s="4">
        <v>175</v>
      </c>
      <c r="J106" s="4" t="s">
        <v>111</v>
      </c>
      <c r="K106" s="4" t="s">
        <v>18</v>
      </c>
      <c r="L106" t="s">
        <v>263</v>
      </c>
      <c r="M106" s="9">
        <f t="shared" si="9"/>
        <v>218.762215</v>
      </c>
      <c r="N106" t="s">
        <v>263</v>
      </c>
      <c r="O106" s="9">
        <v>30.9</v>
      </c>
      <c r="P106" s="9">
        <f t="shared" si="10"/>
        <v>-187.86221499999999</v>
      </c>
      <c r="Q106" s="16">
        <f t="shared" si="11"/>
        <v>218.762215</v>
      </c>
    </row>
    <row r="107" spans="1:17" x14ac:dyDescent="0.25">
      <c r="A107" s="3" t="s">
        <v>266</v>
      </c>
      <c r="B107" s="4" t="s">
        <v>267</v>
      </c>
      <c r="C107" s="12">
        <f t="shared" si="13"/>
        <v>9.7850000000000001</v>
      </c>
      <c r="D107" s="4" t="s">
        <v>124</v>
      </c>
      <c r="E107" s="4" t="s">
        <v>14</v>
      </c>
      <c r="F107" s="4" t="s">
        <v>15</v>
      </c>
      <c r="G107" s="4" t="s">
        <v>16</v>
      </c>
      <c r="H107" s="4" t="s">
        <v>17</v>
      </c>
      <c r="I107" s="4">
        <v>9.5</v>
      </c>
      <c r="J107" s="4" t="s">
        <v>124</v>
      </c>
      <c r="K107" s="4" t="s">
        <v>18</v>
      </c>
      <c r="L107" t="s">
        <v>266</v>
      </c>
      <c r="M107" s="9">
        <f t="shared" si="9"/>
        <v>11.875663100000001</v>
      </c>
      <c r="N107" t="s">
        <v>266</v>
      </c>
      <c r="O107" s="9">
        <v>9.7850000000000001</v>
      </c>
      <c r="P107" s="9">
        <f t="shared" si="10"/>
        <v>-2.0906631000000004</v>
      </c>
      <c r="Q107" s="16">
        <f t="shared" si="11"/>
        <v>11.875663100000001</v>
      </c>
    </row>
    <row r="108" spans="1:17" x14ac:dyDescent="0.25">
      <c r="A108" s="3" t="s">
        <v>268</v>
      </c>
      <c r="B108" s="4" t="s">
        <v>269</v>
      </c>
      <c r="C108" s="12">
        <f t="shared" si="13"/>
        <v>61.840807570000003</v>
      </c>
      <c r="D108" s="4" t="s">
        <v>242</v>
      </c>
      <c r="E108" s="4" t="s">
        <v>14</v>
      </c>
      <c r="F108" s="4" t="s">
        <v>33</v>
      </c>
      <c r="G108" s="4" t="s">
        <v>34</v>
      </c>
      <c r="H108" s="4" t="s">
        <v>270</v>
      </c>
      <c r="I108" s="4">
        <v>60.039619000000002</v>
      </c>
      <c r="J108" s="4" t="s">
        <v>13</v>
      </c>
      <c r="K108" s="4" t="s">
        <v>18</v>
      </c>
      <c r="L108">
        <v>0</v>
      </c>
      <c r="M108" s="9">
        <f t="shared" si="9"/>
        <v>75.053714515406199</v>
      </c>
      <c r="N108">
        <v>0</v>
      </c>
      <c r="O108" s="9">
        <v>0</v>
      </c>
      <c r="P108" s="9">
        <f t="shared" si="10"/>
        <v>-75.053714515406199</v>
      </c>
      <c r="Q108" s="16">
        <f t="shared" si="11"/>
        <v>75.053714515406199</v>
      </c>
    </row>
    <row r="109" spans="1:17" x14ac:dyDescent="0.25">
      <c r="A109" s="3" t="s">
        <v>271</v>
      </c>
      <c r="B109" s="4" t="s">
        <v>272</v>
      </c>
      <c r="C109" s="12">
        <v>92</v>
      </c>
      <c r="D109" s="4" t="s">
        <v>13</v>
      </c>
      <c r="E109" s="4" t="s">
        <v>14</v>
      </c>
      <c r="F109" s="4" t="s">
        <v>33</v>
      </c>
      <c r="G109" s="4" t="s">
        <v>34</v>
      </c>
      <c r="H109" s="4" t="s">
        <v>115</v>
      </c>
      <c r="I109" s="4">
        <v>84</v>
      </c>
      <c r="J109" s="4" t="s">
        <v>13</v>
      </c>
      <c r="K109" s="4" t="s">
        <v>18</v>
      </c>
      <c r="L109" t="s">
        <v>271</v>
      </c>
      <c r="M109" s="9">
        <f t="shared" si="9"/>
        <v>111.65671999999999</v>
      </c>
      <c r="N109">
        <v>0</v>
      </c>
      <c r="O109" s="9">
        <v>0</v>
      </c>
      <c r="P109" s="9">
        <f t="shared" si="10"/>
        <v>-111.65671999999999</v>
      </c>
      <c r="Q109" s="16">
        <f t="shared" si="11"/>
        <v>111.65671999999999</v>
      </c>
    </row>
    <row r="110" spans="1:17" x14ac:dyDescent="0.25">
      <c r="A110" s="3" t="s">
        <v>273</v>
      </c>
      <c r="B110" s="4" t="s">
        <v>274</v>
      </c>
      <c r="C110" s="12">
        <v>129.78</v>
      </c>
      <c r="D110" s="4" t="s">
        <v>13</v>
      </c>
      <c r="E110" s="4" t="s">
        <v>14</v>
      </c>
      <c r="F110" s="4" t="s">
        <v>33</v>
      </c>
      <c r="G110" s="4" t="s">
        <v>34</v>
      </c>
      <c r="H110" s="4" t="s">
        <v>115</v>
      </c>
      <c r="I110" s="4">
        <v>126</v>
      </c>
      <c r="J110" s="4" t="s">
        <v>13</v>
      </c>
      <c r="K110" s="4" t="s">
        <v>18</v>
      </c>
      <c r="L110" t="s">
        <v>273</v>
      </c>
      <c r="M110" s="9">
        <f t="shared" si="9"/>
        <v>157.5087948</v>
      </c>
      <c r="N110">
        <v>0</v>
      </c>
      <c r="O110" s="9">
        <v>0</v>
      </c>
      <c r="P110" s="9">
        <f t="shared" si="10"/>
        <v>-157.5087948</v>
      </c>
      <c r="Q110" s="16">
        <f t="shared" si="11"/>
        <v>157.5087948</v>
      </c>
    </row>
    <row r="111" spans="1:17" x14ac:dyDescent="0.25">
      <c r="A111" s="3" t="s">
        <v>275</v>
      </c>
      <c r="B111" s="4" t="s">
        <v>276</v>
      </c>
      <c r="C111" s="12">
        <v>1604</v>
      </c>
      <c r="D111" s="4" t="s">
        <v>13</v>
      </c>
      <c r="E111" s="4" t="s">
        <v>14</v>
      </c>
      <c r="F111" s="4" t="s">
        <v>33</v>
      </c>
      <c r="G111" s="4" t="s">
        <v>34</v>
      </c>
      <c r="H111" s="4" t="s">
        <v>115</v>
      </c>
      <c r="I111" s="4">
        <v>1620.94</v>
      </c>
      <c r="J111" s="4" t="s">
        <v>13</v>
      </c>
      <c r="K111" s="4" t="s">
        <v>18</v>
      </c>
      <c r="L111" t="s">
        <v>275</v>
      </c>
      <c r="M111" s="9">
        <f t="shared" si="9"/>
        <v>1946.71064</v>
      </c>
      <c r="N111">
        <v>0</v>
      </c>
      <c r="O111" s="9">
        <v>0</v>
      </c>
      <c r="P111" s="9">
        <f t="shared" si="10"/>
        <v>-1946.71064</v>
      </c>
      <c r="Q111" s="16">
        <f t="shared" si="11"/>
        <v>1946.71064</v>
      </c>
    </row>
    <row r="112" spans="1:17" x14ac:dyDescent="0.25">
      <c r="A112" s="3" t="s">
        <v>277</v>
      </c>
      <c r="B112" s="4" t="s">
        <v>278</v>
      </c>
      <c r="C112" s="12">
        <v>60</v>
      </c>
      <c r="D112" s="4" t="s">
        <v>242</v>
      </c>
      <c r="E112" s="4" t="s">
        <v>14</v>
      </c>
      <c r="F112" s="4" t="s">
        <v>33</v>
      </c>
      <c r="G112" s="4" t="s">
        <v>34</v>
      </c>
      <c r="H112" s="4" t="s">
        <v>35</v>
      </c>
      <c r="I112" s="4">
        <v>93.45</v>
      </c>
      <c r="J112" s="4" t="s">
        <v>242</v>
      </c>
      <c r="K112" s="4" t="s">
        <v>18</v>
      </c>
      <c r="L112" t="s">
        <v>277</v>
      </c>
      <c r="M112" s="9">
        <f t="shared" si="9"/>
        <v>72.819599999999994</v>
      </c>
      <c r="N112">
        <v>0</v>
      </c>
      <c r="O112" s="9">
        <v>0</v>
      </c>
      <c r="P112" s="9">
        <f t="shared" si="10"/>
        <v>-72.819599999999994</v>
      </c>
      <c r="Q112" s="16">
        <f t="shared" si="11"/>
        <v>72.819599999999994</v>
      </c>
    </row>
    <row r="113" spans="1:17" x14ac:dyDescent="0.25">
      <c r="A113" s="3" t="s">
        <v>279</v>
      </c>
      <c r="B113" s="4" t="s">
        <v>280</v>
      </c>
      <c r="C113" s="12">
        <f>I113*3%+I113</f>
        <v>75.704999999999998</v>
      </c>
      <c r="D113" s="4" t="s">
        <v>111</v>
      </c>
      <c r="E113" s="4" t="s">
        <v>14</v>
      </c>
      <c r="F113" s="4" t="s">
        <v>131</v>
      </c>
      <c r="G113" s="4" t="s">
        <v>132</v>
      </c>
      <c r="H113" s="4" t="s">
        <v>133</v>
      </c>
      <c r="I113" s="4">
        <v>73.5</v>
      </c>
      <c r="J113" s="4" t="s">
        <v>111</v>
      </c>
      <c r="K113" s="4" t="s">
        <v>18</v>
      </c>
      <c r="L113" t="s">
        <v>279</v>
      </c>
      <c r="M113" s="9">
        <f t="shared" si="9"/>
        <v>91.88013029999999</v>
      </c>
      <c r="N113" t="s">
        <v>279</v>
      </c>
      <c r="O113" s="9">
        <v>91.876000000000005</v>
      </c>
      <c r="P113" s="9">
        <f t="shared" si="10"/>
        <v>-4.1302999999857093E-3</v>
      </c>
      <c r="Q113" s="16">
        <f t="shared" si="11"/>
        <v>91.88013029999999</v>
      </c>
    </row>
    <row r="114" spans="1:17" x14ac:dyDescent="0.25">
      <c r="A114" s="3">
        <v>1129085</v>
      </c>
      <c r="B114" s="4" t="s">
        <v>281</v>
      </c>
      <c r="C114" s="12">
        <f t="shared" ref="C114:C133" si="14">I114*3%+I114</f>
        <v>0</v>
      </c>
      <c r="D114" s="4" t="s">
        <v>282</v>
      </c>
      <c r="E114" s="4"/>
      <c r="F114" s="4" t="s">
        <v>131</v>
      </c>
      <c r="G114" s="4" t="s">
        <v>132</v>
      </c>
      <c r="H114" s="4" t="s">
        <v>133</v>
      </c>
      <c r="I114" s="4"/>
      <c r="J114" s="4" t="s">
        <v>283</v>
      </c>
      <c r="K114" s="4" t="s">
        <v>18</v>
      </c>
      <c r="L114">
        <v>0</v>
      </c>
      <c r="M114" s="9">
        <f t="shared" si="9"/>
        <v>0</v>
      </c>
      <c r="N114">
        <v>0</v>
      </c>
      <c r="O114" s="9">
        <v>0</v>
      </c>
      <c r="P114" s="9">
        <f t="shared" si="10"/>
        <v>0</v>
      </c>
      <c r="Q114" s="16">
        <f t="shared" si="11"/>
        <v>0</v>
      </c>
    </row>
    <row r="115" spans="1:17" x14ac:dyDescent="0.25">
      <c r="A115" s="3" t="s">
        <v>284</v>
      </c>
      <c r="B115" s="4" t="s">
        <v>285</v>
      </c>
      <c r="C115" s="12">
        <f t="shared" si="14"/>
        <v>120.02590000000001</v>
      </c>
      <c r="D115" s="4" t="s">
        <v>111</v>
      </c>
      <c r="E115" s="4" t="s">
        <v>14</v>
      </c>
      <c r="F115" s="4" t="s">
        <v>131</v>
      </c>
      <c r="G115" s="4" t="s">
        <v>132</v>
      </c>
      <c r="H115" s="4" t="s">
        <v>133</v>
      </c>
      <c r="I115" s="4">
        <v>116.53</v>
      </c>
      <c r="J115" s="4" t="s">
        <v>111</v>
      </c>
      <c r="K115" s="4" t="s">
        <v>18</v>
      </c>
      <c r="L115" t="s">
        <v>284</v>
      </c>
      <c r="M115" s="9">
        <f t="shared" si="9"/>
        <v>145.670633794</v>
      </c>
      <c r="N115">
        <v>0</v>
      </c>
      <c r="O115" s="9">
        <v>0</v>
      </c>
      <c r="P115" s="9">
        <f t="shared" si="10"/>
        <v>-145.670633794</v>
      </c>
      <c r="Q115" s="16">
        <f t="shared" si="11"/>
        <v>145.670633794</v>
      </c>
    </row>
    <row r="116" spans="1:17" x14ac:dyDescent="0.25">
      <c r="A116" s="3" t="s">
        <v>286</v>
      </c>
      <c r="B116" s="4" t="s">
        <v>287</v>
      </c>
      <c r="C116" s="12">
        <f t="shared" si="14"/>
        <v>279.90249999999997</v>
      </c>
      <c r="D116" s="4" t="s">
        <v>111</v>
      </c>
      <c r="E116" s="4" t="s">
        <v>14</v>
      </c>
      <c r="F116" s="4" t="s">
        <v>131</v>
      </c>
      <c r="G116" s="4" t="s">
        <v>132</v>
      </c>
      <c r="H116" s="4" t="s">
        <v>133</v>
      </c>
      <c r="I116" s="4">
        <v>271.75</v>
      </c>
      <c r="J116" s="4" t="s">
        <v>111</v>
      </c>
      <c r="K116" s="4" t="s">
        <v>18</v>
      </c>
      <c r="L116" t="s">
        <v>286</v>
      </c>
      <c r="M116" s="9">
        <f t="shared" si="9"/>
        <v>339.70646814999998</v>
      </c>
      <c r="N116" t="s">
        <v>286</v>
      </c>
      <c r="O116" s="9">
        <v>242.46199999999999</v>
      </c>
      <c r="P116" s="9">
        <f t="shared" si="10"/>
        <v>-97.244468149999989</v>
      </c>
      <c r="Q116" s="16">
        <f t="shared" si="11"/>
        <v>339.70646814999998</v>
      </c>
    </row>
    <row r="117" spans="1:17" x14ac:dyDescent="0.25">
      <c r="A117" s="3" t="s">
        <v>288</v>
      </c>
      <c r="B117" s="4" t="s">
        <v>289</v>
      </c>
      <c r="C117" s="12">
        <f t="shared" si="14"/>
        <v>0</v>
      </c>
      <c r="D117" s="4" t="s">
        <v>13</v>
      </c>
      <c r="E117" s="4" t="s">
        <v>23</v>
      </c>
      <c r="F117" s="4" t="s">
        <v>49</v>
      </c>
      <c r="G117" s="4" t="s">
        <v>50</v>
      </c>
      <c r="H117" s="4" t="s">
        <v>50</v>
      </c>
      <c r="I117" s="4"/>
      <c r="J117" s="4" t="s">
        <v>13</v>
      </c>
      <c r="K117" s="4" t="s">
        <v>18</v>
      </c>
      <c r="L117">
        <v>0</v>
      </c>
      <c r="M117" s="9">
        <f t="shared" si="9"/>
        <v>0</v>
      </c>
      <c r="N117">
        <v>0</v>
      </c>
      <c r="O117" s="9">
        <v>0</v>
      </c>
      <c r="P117" s="9">
        <f t="shared" si="10"/>
        <v>0</v>
      </c>
      <c r="Q117" s="16">
        <f t="shared" si="11"/>
        <v>0</v>
      </c>
    </row>
    <row r="118" spans="1:17" x14ac:dyDescent="0.25">
      <c r="A118" s="3" t="s">
        <v>290</v>
      </c>
      <c r="B118" s="4" t="s">
        <v>291</v>
      </c>
      <c r="C118" s="12">
        <f t="shared" si="14"/>
        <v>0</v>
      </c>
      <c r="D118" s="4" t="s">
        <v>13</v>
      </c>
      <c r="E118" s="4" t="s">
        <v>23</v>
      </c>
      <c r="F118" s="4" t="s">
        <v>49</v>
      </c>
      <c r="G118" s="4" t="s">
        <v>50</v>
      </c>
      <c r="H118" s="4" t="s">
        <v>50</v>
      </c>
      <c r="I118" s="4"/>
      <c r="J118" s="4" t="s">
        <v>13</v>
      </c>
      <c r="K118" s="4" t="s">
        <v>18</v>
      </c>
      <c r="L118">
        <v>0</v>
      </c>
      <c r="M118" s="9">
        <f t="shared" si="9"/>
        <v>0</v>
      </c>
      <c r="N118">
        <v>0</v>
      </c>
      <c r="O118" s="9">
        <v>0</v>
      </c>
      <c r="P118" s="9">
        <f t="shared" si="10"/>
        <v>0</v>
      </c>
      <c r="Q118" s="16">
        <f t="shared" si="11"/>
        <v>0</v>
      </c>
    </row>
    <row r="119" spans="1:17" x14ac:dyDescent="0.25">
      <c r="A119" s="3" t="s">
        <v>292</v>
      </c>
      <c r="B119" s="4" t="s">
        <v>293</v>
      </c>
      <c r="C119" s="12">
        <f t="shared" si="14"/>
        <v>0</v>
      </c>
      <c r="D119" s="4" t="s">
        <v>13</v>
      </c>
      <c r="E119" s="4" t="s">
        <v>23</v>
      </c>
      <c r="F119" s="4" t="s">
        <v>49</v>
      </c>
      <c r="G119" s="4" t="s">
        <v>50</v>
      </c>
      <c r="H119" s="4" t="s">
        <v>50</v>
      </c>
      <c r="I119" s="4"/>
      <c r="J119" s="4" t="s">
        <v>13</v>
      </c>
      <c r="K119" s="4" t="s">
        <v>18</v>
      </c>
      <c r="L119">
        <v>0</v>
      </c>
      <c r="M119" s="9">
        <f t="shared" si="9"/>
        <v>0</v>
      </c>
      <c r="N119">
        <v>0</v>
      </c>
      <c r="O119" s="9">
        <v>0</v>
      </c>
      <c r="P119" s="9">
        <f t="shared" si="10"/>
        <v>0</v>
      </c>
      <c r="Q119" s="16">
        <f t="shared" si="11"/>
        <v>0</v>
      </c>
    </row>
    <row r="120" spans="1:17" x14ac:dyDescent="0.25">
      <c r="A120" s="3" t="s">
        <v>294</v>
      </c>
      <c r="B120" s="4" t="s">
        <v>295</v>
      </c>
      <c r="C120" s="12">
        <f t="shared" si="14"/>
        <v>0</v>
      </c>
      <c r="D120" s="4" t="s">
        <v>13</v>
      </c>
      <c r="E120" s="4" t="s">
        <v>23</v>
      </c>
      <c r="F120" s="4" t="s">
        <v>49</v>
      </c>
      <c r="G120" s="4" t="s">
        <v>50</v>
      </c>
      <c r="H120" s="4" t="s">
        <v>50</v>
      </c>
      <c r="I120" s="4"/>
      <c r="J120" s="4" t="s">
        <v>13</v>
      </c>
      <c r="K120" s="4" t="s">
        <v>18</v>
      </c>
      <c r="L120">
        <v>0</v>
      </c>
      <c r="M120" s="9">
        <f t="shared" si="9"/>
        <v>0</v>
      </c>
      <c r="N120">
        <v>0</v>
      </c>
      <c r="O120" s="9">
        <v>0</v>
      </c>
      <c r="P120" s="9">
        <f t="shared" si="10"/>
        <v>0</v>
      </c>
      <c r="Q120" s="16">
        <f t="shared" si="11"/>
        <v>0</v>
      </c>
    </row>
    <row r="121" spans="1:17" x14ac:dyDescent="0.25">
      <c r="A121" s="3" t="s">
        <v>296</v>
      </c>
      <c r="B121" s="4" t="s">
        <v>297</v>
      </c>
      <c r="C121" s="12">
        <f t="shared" si="14"/>
        <v>0</v>
      </c>
      <c r="D121" s="4" t="s">
        <v>13</v>
      </c>
      <c r="E121" s="4" t="s">
        <v>14</v>
      </c>
      <c r="F121" s="4" t="s">
        <v>15</v>
      </c>
      <c r="G121" s="4" t="s">
        <v>16</v>
      </c>
      <c r="H121" s="4" t="s">
        <v>17</v>
      </c>
      <c r="I121" s="4"/>
      <c r="J121" s="4" t="s">
        <v>13</v>
      </c>
      <c r="K121" s="4" t="s">
        <v>18</v>
      </c>
      <c r="L121">
        <v>0</v>
      </c>
      <c r="M121" s="9">
        <f t="shared" si="9"/>
        <v>0</v>
      </c>
      <c r="N121">
        <v>0</v>
      </c>
      <c r="O121" s="9">
        <v>0</v>
      </c>
      <c r="P121" s="9">
        <f t="shared" si="10"/>
        <v>0</v>
      </c>
      <c r="Q121" s="16">
        <f t="shared" si="11"/>
        <v>0</v>
      </c>
    </row>
    <row r="122" spans="1:17" x14ac:dyDescent="0.25">
      <c r="A122" s="3" t="s">
        <v>298</v>
      </c>
      <c r="B122" s="4" t="s">
        <v>299</v>
      </c>
      <c r="C122" s="12">
        <f t="shared" si="14"/>
        <v>0</v>
      </c>
      <c r="D122" s="4" t="s">
        <v>13</v>
      </c>
      <c r="E122" s="4" t="s">
        <v>23</v>
      </c>
      <c r="F122" s="4" t="s">
        <v>49</v>
      </c>
      <c r="G122" s="4" t="s">
        <v>50</v>
      </c>
      <c r="H122" s="4" t="s">
        <v>50</v>
      </c>
      <c r="I122" s="4"/>
      <c r="J122" s="4" t="s">
        <v>13</v>
      </c>
      <c r="K122" s="4" t="s">
        <v>18</v>
      </c>
      <c r="L122">
        <v>0</v>
      </c>
      <c r="M122" s="9">
        <f t="shared" si="9"/>
        <v>0</v>
      </c>
      <c r="N122">
        <v>0</v>
      </c>
      <c r="O122" s="9">
        <v>0</v>
      </c>
      <c r="P122" s="9">
        <f t="shared" si="10"/>
        <v>0</v>
      </c>
      <c r="Q122" s="16">
        <f t="shared" si="11"/>
        <v>0</v>
      </c>
    </row>
    <row r="123" spans="1:17" x14ac:dyDescent="0.25">
      <c r="A123" s="3" t="s">
        <v>300</v>
      </c>
      <c r="B123" s="4" t="s">
        <v>301</v>
      </c>
      <c r="C123" s="12">
        <f t="shared" si="14"/>
        <v>34.608000000000004</v>
      </c>
      <c r="D123" s="4" t="s">
        <v>13</v>
      </c>
      <c r="E123" s="4" t="s">
        <v>14</v>
      </c>
      <c r="F123" s="4" t="s">
        <v>33</v>
      </c>
      <c r="G123" s="4" t="s">
        <v>34</v>
      </c>
      <c r="H123" s="4" t="s">
        <v>76</v>
      </c>
      <c r="I123" s="4">
        <v>33.6</v>
      </c>
      <c r="J123" s="4" t="s">
        <v>13</v>
      </c>
      <c r="K123" s="4" t="s">
        <v>18</v>
      </c>
      <c r="L123" t="s">
        <v>300</v>
      </c>
      <c r="M123" s="9">
        <f t="shared" si="9"/>
        <v>42.00234528</v>
      </c>
      <c r="N123">
        <v>0</v>
      </c>
      <c r="O123" s="9">
        <v>0</v>
      </c>
      <c r="P123" s="9">
        <f t="shared" si="10"/>
        <v>-42.00234528</v>
      </c>
      <c r="Q123" s="16">
        <f t="shared" si="11"/>
        <v>42.00234528</v>
      </c>
    </row>
    <row r="124" spans="1:17" x14ac:dyDescent="0.25">
      <c r="A124" s="3" t="s">
        <v>302</v>
      </c>
      <c r="B124" s="4" t="s">
        <v>303</v>
      </c>
      <c r="C124" s="12">
        <f t="shared" si="14"/>
        <v>0</v>
      </c>
      <c r="D124" s="4" t="s">
        <v>13</v>
      </c>
      <c r="E124" s="4" t="s">
        <v>23</v>
      </c>
      <c r="F124" s="4" t="s">
        <v>49</v>
      </c>
      <c r="G124" s="4" t="s">
        <v>50</v>
      </c>
      <c r="H124" s="4" t="s">
        <v>50</v>
      </c>
      <c r="I124" s="4"/>
      <c r="J124" s="4" t="s">
        <v>13</v>
      </c>
      <c r="K124" s="4" t="s">
        <v>18</v>
      </c>
      <c r="L124">
        <v>0</v>
      </c>
      <c r="M124" s="9">
        <f t="shared" si="9"/>
        <v>0</v>
      </c>
      <c r="N124">
        <v>0</v>
      </c>
      <c r="O124" s="9">
        <v>0</v>
      </c>
      <c r="P124" s="9">
        <f t="shared" si="10"/>
        <v>0</v>
      </c>
      <c r="Q124" s="16">
        <f t="shared" si="11"/>
        <v>0</v>
      </c>
    </row>
    <row r="125" spans="1:17" x14ac:dyDescent="0.25">
      <c r="A125" s="3" t="s">
        <v>304</v>
      </c>
      <c r="B125" s="4" t="s">
        <v>305</v>
      </c>
      <c r="C125" s="12">
        <f t="shared" si="14"/>
        <v>0.86519999999999997</v>
      </c>
      <c r="D125" s="4" t="s">
        <v>13</v>
      </c>
      <c r="E125" s="4" t="s">
        <v>14</v>
      </c>
      <c r="F125" s="4" t="s">
        <v>33</v>
      </c>
      <c r="G125" s="4" t="s">
        <v>34</v>
      </c>
      <c r="H125" s="4" t="s">
        <v>76</v>
      </c>
      <c r="I125" s="4">
        <v>0.84</v>
      </c>
      <c r="J125" s="4" t="s">
        <v>13</v>
      </c>
      <c r="K125" s="4" t="s">
        <v>18</v>
      </c>
      <c r="L125" t="s">
        <v>304</v>
      </c>
      <c r="M125" s="9">
        <f t="shared" si="9"/>
        <v>1.0500586319999998</v>
      </c>
      <c r="N125">
        <v>0</v>
      </c>
      <c r="O125" s="9">
        <v>0</v>
      </c>
      <c r="P125" s="9">
        <f t="shared" si="10"/>
        <v>-1.0500586319999998</v>
      </c>
      <c r="Q125" s="16">
        <f t="shared" si="11"/>
        <v>1.0500586319999998</v>
      </c>
    </row>
    <row r="126" spans="1:17" x14ac:dyDescent="0.25">
      <c r="A126" s="3" t="s">
        <v>306</v>
      </c>
      <c r="B126" s="4" t="s">
        <v>307</v>
      </c>
      <c r="C126" s="12">
        <f t="shared" si="14"/>
        <v>56.238</v>
      </c>
      <c r="D126" s="4" t="s">
        <v>13</v>
      </c>
      <c r="E126" s="4" t="s">
        <v>14</v>
      </c>
      <c r="F126" s="4" t="s">
        <v>33</v>
      </c>
      <c r="G126" s="4" t="s">
        <v>34</v>
      </c>
      <c r="H126" s="4" t="s">
        <v>76</v>
      </c>
      <c r="I126" s="4">
        <v>54.6</v>
      </c>
      <c r="J126" s="4" t="s">
        <v>13</v>
      </c>
      <c r="K126" s="4" t="s">
        <v>18</v>
      </c>
      <c r="L126" t="s">
        <v>306</v>
      </c>
      <c r="M126" s="9">
        <f t="shared" si="9"/>
        <v>68.253811079999991</v>
      </c>
      <c r="N126">
        <v>0</v>
      </c>
      <c r="O126" s="9">
        <v>0</v>
      </c>
      <c r="P126" s="9">
        <f t="shared" si="10"/>
        <v>-68.253811079999991</v>
      </c>
      <c r="Q126" s="16">
        <f t="shared" si="11"/>
        <v>68.253811079999991</v>
      </c>
    </row>
    <row r="127" spans="1:17" x14ac:dyDescent="0.25">
      <c r="A127" s="3" t="s">
        <v>308</v>
      </c>
      <c r="B127" s="4" t="s">
        <v>309</v>
      </c>
      <c r="C127" s="12">
        <f t="shared" si="14"/>
        <v>0</v>
      </c>
      <c r="D127" s="4" t="s">
        <v>13</v>
      </c>
      <c r="E127" s="4" t="s">
        <v>23</v>
      </c>
      <c r="F127" s="4" t="s">
        <v>49</v>
      </c>
      <c r="G127" s="4" t="s">
        <v>50</v>
      </c>
      <c r="H127" s="4" t="s">
        <v>50</v>
      </c>
      <c r="I127" s="4"/>
      <c r="J127" s="4" t="s">
        <v>13</v>
      </c>
      <c r="K127" s="4" t="s">
        <v>18</v>
      </c>
      <c r="L127">
        <v>0</v>
      </c>
      <c r="M127" s="9">
        <f t="shared" si="9"/>
        <v>0</v>
      </c>
      <c r="N127">
        <v>0</v>
      </c>
      <c r="O127" s="9">
        <v>0</v>
      </c>
      <c r="P127" s="9">
        <f t="shared" si="10"/>
        <v>0</v>
      </c>
      <c r="Q127" s="16">
        <f t="shared" si="11"/>
        <v>0</v>
      </c>
    </row>
    <row r="128" spans="1:17" x14ac:dyDescent="0.25">
      <c r="A128" s="3" t="s">
        <v>310</v>
      </c>
      <c r="B128" s="4" t="s">
        <v>311</v>
      </c>
      <c r="C128" s="12">
        <f t="shared" si="14"/>
        <v>84.130400000000009</v>
      </c>
      <c r="D128" s="4" t="s">
        <v>118</v>
      </c>
      <c r="E128" s="4" t="s">
        <v>14</v>
      </c>
      <c r="F128" s="4" t="s">
        <v>131</v>
      </c>
      <c r="G128" s="4" t="s">
        <v>132</v>
      </c>
      <c r="H128" s="4" t="s">
        <v>133</v>
      </c>
      <c r="I128" s="4">
        <v>81.680000000000007</v>
      </c>
      <c r="J128" s="4" t="s">
        <v>118</v>
      </c>
      <c r="K128" s="4" t="s">
        <v>18</v>
      </c>
      <c r="L128" t="s">
        <v>310</v>
      </c>
      <c r="M128" s="9">
        <f t="shared" si="9"/>
        <v>102.105701264</v>
      </c>
      <c r="N128" t="s">
        <v>310</v>
      </c>
      <c r="O128" s="9">
        <v>102.1039</v>
      </c>
      <c r="P128" s="9">
        <f t="shared" si="10"/>
        <v>-1.8012640000080182E-3</v>
      </c>
      <c r="Q128" s="16">
        <f t="shared" si="11"/>
        <v>102.105701264</v>
      </c>
    </row>
    <row r="129" spans="1:17" x14ac:dyDescent="0.25">
      <c r="A129" s="3" t="s">
        <v>312</v>
      </c>
      <c r="B129" s="4" t="s">
        <v>313</v>
      </c>
      <c r="C129" s="12">
        <f t="shared" si="14"/>
        <v>73.840699999999998</v>
      </c>
      <c r="D129" s="4" t="s">
        <v>118</v>
      </c>
      <c r="E129" s="4" t="s">
        <v>14</v>
      </c>
      <c r="F129" s="4" t="s">
        <v>131</v>
      </c>
      <c r="G129" s="4" t="s">
        <v>132</v>
      </c>
      <c r="H129" s="4" t="s">
        <v>133</v>
      </c>
      <c r="I129" s="4">
        <v>71.69</v>
      </c>
      <c r="J129" s="4" t="s">
        <v>118</v>
      </c>
      <c r="K129" s="4" t="s">
        <v>18</v>
      </c>
      <c r="L129" t="s">
        <v>312</v>
      </c>
      <c r="M129" s="9">
        <f t="shared" si="9"/>
        <v>89.617503962000001</v>
      </c>
      <c r="N129" t="s">
        <v>312</v>
      </c>
      <c r="O129" s="9">
        <v>89.6203</v>
      </c>
      <c r="P129" s="9">
        <f t="shared" si="10"/>
        <v>2.7960379999996121E-3</v>
      </c>
      <c r="Q129" s="16">
        <f t="shared" si="11"/>
        <v>89.617503962000001</v>
      </c>
    </row>
    <row r="130" spans="1:17" x14ac:dyDescent="0.25">
      <c r="A130" s="3" t="s">
        <v>314</v>
      </c>
      <c r="B130" s="4" t="s">
        <v>315</v>
      </c>
      <c r="C130" s="12">
        <f t="shared" si="14"/>
        <v>21.320999999999998</v>
      </c>
      <c r="D130" s="4" t="s">
        <v>118</v>
      </c>
      <c r="E130" s="4" t="s">
        <v>14</v>
      </c>
      <c r="F130" s="4" t="s">
        <v>131</v>
      </c>
      <c r="G130" s="4" t="s">
        <v>132</v>
      </c>
      <c r="H130" s="4" t="s">
        <v>133</v>
      </c>
      <c r="I130" s="4">
        <v>20.7</v>
      </c>
      <c r="J130" s="4" t="s">
        <v>118</v>
      </c>
      <c r="K130" s="4" t="s">
        <v>18</v>
      </c>
      <c r="L130" t="s">
        <v>314</v>
      </c>
      <c r="M130" s="9">
        <f t="shared" si="9"/>
        <v>25.876444859999996</v>
      </c>
      <c r="N130" t="s">
        <v>314</v>
      </c>
      <c r="O130" s="9">
        <v>25.8736</v>
      </c>
      <c r="P130" s="9">
        <f t="shared" si="10"/>
        <v>-2.8448599999961743E-3</v>
      </c>
      <c r="Q130" s="16">
        <f t="shared" si="11"/>
        <v>25.876444859999996</v>
      </c>
    </row>
    <row r="131" spans="1:17" x14ac:dyDescent="0.25">
      <c r="A131" s="3" t="s">
        <v>316</v>
      </c>
      <c r="B131" s="4" t="s">
        <v>317</v>
      </c>
      <c r="C131" s="12">
        <f t="shared" si="14"/>
        <v>119.48</v>
      </c>
      <c r="D131" s="4" t="s">
        <v>111</v>
      </c>
      <c r="E131" s="4" t="s">
        <v>14</v>
      </c>
      <c r="F131" s="4" t="s">
        <v>33</v>
      </c>
      <c r="G131" s="4" t="s">
        <v>34</v>
      </c>
      <c r="H131" s="4" t="s">
        <v>318</v>
      </c>
      <c r="I131" s="4">
        <v>116</v>
      </c>
      <c r="J131" s="4" t="s">
        <v>111</v>
      </c>
      <c r="K131" s="4" t="s">
        <v>18</v>
      </c>
      <c r="L131" t="s">
        <v>316</v>
      </c>
      <c r="M131" s="9">
        <f t="shared" ref="M131:M194" si="15">C131*1.21366</f>
        <v>145.0080968</v>
      </c>
      <c r="N131">
        <v>0</v>
      </c>
      <c r="O131" s="9">
        <v>0</v>
      </c>
      <c r="P131" s="9">
        <f t="shared" ref="P131:P194" si="16">O131-M131</f>
        <v>-145.0080968</v>
      </c>
      <c r="Q131" s="16">
        <f t="shared" ref="Q131:Q194" si="17">C131*1.21366</f>
        <v>145.0080968</v>
      </c>
    </row>
    <row r="132" spans="1:17" x14ac:dyDescent="0.25">
      <c r="A132" s="3" t="s">
        <v>319</v>
      </c>
      <c r="B132" s="4" t="s">
        <v>320</v>
      </c>
      <c r="C132" s="12">
        <f t="shared" si="14"/>
        <v>2.7604000000000002</v>
      </c>
      <c r="D132" s="4" t="s">
        <v>13</v>
      </c>
      <c r="E132" s="4" t="s">
        <v>14</v>
      </c>
      <c r="F132" s="4" t="s">
        <v>15</v>
      </c>
      <c r="G132" s="4" t="s">
        <v>16</v>
      </c>
      <c r="H132" s="4" t="s">
        <v>17</v>
      </c>
      <c r="I132" s="4">
        <v>2.68</v>
      </c>
      <c r="J132" s="4" t="s">
        <v>13</v>
      </c>
      <c r="K132" s="4" t="s">
        <v>18</v>
      </c>
      <c r="L132" t="s">
        <v>319</v>
      </c>
      <c r="M132" s="9">
        <f t="shared" si="15"/>
        <v>3.350187064</v>
      </c>
      <c r="N132">
        <v>0</v>
      </c>
      <c r="O132" s="9">
        <v>0</v>
      </c>
      <c r="P132" s="9">
        <f t="shared" si="16"/>
        <v>-3.350187064</v>
      </c>
      <c r="Q132" s="16">
        <f t="shared" si="17"/>
        <v>3.350187064</v>
      </c>
    </row>
    <row r="133" spans="1:17" x14ac:dyDescent="0.25">
      <c r="A133" s="3" t="s">
        <v>321</v>
      </c>
      <c r="B133" s="4" t="s">
        <v>322</v>
      </c>
      <c r="C133" s="12">
        <f t="shared" si="14"/>
        <v>262.1968</v>
      </c>
      <c r="D133" s="4" t="s">
        <v>32</v>
      </c>
      <c r="E133" s="4" t="s">
        <v>14</v>
      </c>
      <c r="F133" s="4" t="s">
        <v>44</v>
      </c>
      <c r="G133" s="4" t="s">
        <v>45</v>
      </c>
      <c r="H133" s="4" t="s">
        <v>46</v>
      </c>
      <c r="I133" s="4">
        <v>254.56</v>
      </c>
      <c r="J133" s="4" t="s">
        <v>32</v>
      </c>
      <c r="K133" s="4" t="s">
        <v>18</v>
      </c>
      <c r="L133" t="s">
        <v>321</v>
      </c>
      <c r="M133" s="9">
        <f t="shared" si="15"/>
        <v>318.217768288</v>
      </c>
      <c r="N133">
        <v>0</v>
      </c>
      <c r="O133" s="9">
        <v>0</v>
      </c>
      <c r="P133" s="9">
        <f t="shared" si="16"/>
        <v>-318.217768288</v>
      </c>
      <c r="Q133" s="16">
        <f t="shared" si="17"/>
        <v>318.217768288</v>
      </c>
    </row>
    <row r="134" spans="1:17" x14ac:dyDescent="0.25">
      <c r="A134" s="3" t="s">
        <v>323</v>
      </c>
      <c r="B134" s="4" t="s">
        <v>324</v>
      </c>
      <c r="C134" s="12">
        <v>118.97</v>
      </c>
      <c r="D134" s="4" t="s">
        <v>13</v>
      </c>
      <c r="E134" s="4" t="s">
        <v>14</v>
      </c>
      <c r="F134" s="4" t="s">
        <v>33</v>
      </c>
      <c r="G134" s="4" t="s">
        <v>34</v>
      </c>
      <c r="H134" s="4" t="s">
        <v>115</v>
      </c>
      <c r="I134" s="4">
        <v>115.5</v>
      </c>
      <c r="J134" s="4" t="s">
        <v>13</v>
      </c>
      <c r="K134" s="4" t="s">
        <v>18</v>
      </c>
      <c r="L134" t="s">
        <v>323</v>
      </c>
      <c r="M134" s="9">
        <f t="shared" si="15"/>
        <v>144.38913019999998</v>
      </c>
      <c r="N134">
        <v>0</v>
      </c>
      <c r="O134" s="9">
        <v>0</v>
      </c>
      <c r="P134" s="9">
        <f t="shared" si="16"/>
        <v>-144.38913019999998</v>
      </c>
      <c r="Q134" s="16">
        <f t="shared" si="17"/>
        <v>144.38913019999998</v>
      </c>
    </row>
    <row r="135" spans="1:17" x14ac:dyDescent="0.25">
      <c r="A135" s="3" t="s">
        <v>325</v>
      </c>
      <c r="B135" s="4" t="s">
        <v>326</v>
      </c>
      <c r="C135" s="12">
        <v>151.41</v>
      </c>
      <c r="D135" s="4" t="s">
        <v>13</v>
      </c>
      <c r="E135" s="4" t="s">
        <v>14</v>
      </c>
      <c r="F135" s="4" t="s">
        <v>33</v>
      </c>
      <c r="G135" s="4" t="s">
        <v>34</v>
      </c>
      <c r="H135" s="4" t="s">
        <v>115</v>
      </c>
      <c r="I135" s="4">
        <v>147</v>
      </c>
      <c r="J135" s="4" t="s">
        <v>13</v>
      </c>
      <c r="K135" s="4" t="s">
        <v>18</v>
      </c>
      <c r="L135" t="s">
        <v>325</v>
      </c>
      <c r="M135" s="9">
        <f t="shared" si="15"/>
        <v>183.76026059999998</v>
      </c>
      <c r="N135">
        <v>0</v>
      </c>
      <c r="O135" s="9">
        <v>0</v>
      </c>
      <c r="P135" s="9">
        <f t="shared" si="16"/>
        <v>-183.76026059999998</v>
      </c>
      <c r="Q135" s="16">
        <f t="shared" si="17"/>
        <v>183.76026059999998</v>
      </c>
    </row>
    <row r="136" spans="1:17" x14ac:dyDescent="0.25">
      <c r="A136" s="3" t="s">
        <v>327</v>
      </c>
      <c r="B136" s="4" t="s">
        <v>328</v>
      </c>
      <c r="C136" s="12">
        <v>18</v>
      </c>
      <c r="D136" s="4" t="s">
        <v>13</v>
      </c>
      <c r="E136" s="4" t="s">
        <v>14</v>
      </c>
      <c r="F136" s="4" t="s">
        <v>33</v>
      </c>
      <c r="G136" s="4" t="s">
        <v>34</v>
      </c>
      <c r="H136" s="4" t="s">
        <v>35</v>
      </c>
      <c r="I136" s="4">
        <v>22.74</v>
      </c>
      <c r="J136" s="4" t="s">
        <v>13</v>
      </c>
      <c r="K136" s="4" t="s">
        <v>18</v>
      </c>
      <c r="L136" t="s">
        <v>327</v>
      </c>
      <c r="M136" s="9">
        <f t="shared" si="15"/>
        <v>21.845880000000001</v>
      </c>
      <c r="N136" t="s">
        <v>327</v>
      </c>
      <c r="O136" s="9">
        <v>28.428000000000001</v>
      </c>
      <c r="P136" s="9">
        <f t="shared" si="16"/>
        <v>6.5821199999999997</v>
      </c>
      <c r="Q136" s="16">
        <f t="shared" si="17"/>
        <v>21.845880000000001</v>
      </c>
    </row>
    <row r="137" spans="1:17" x14ac:dyDescent="0.25">
      <c r="A137" s="3">
        <v>2470344</v>
      </c>
      <c r="B137" s="4" t="s">
        <v>329</v>
      </c>
      <c r="C137" s="12">
        <v>250</v>
      </c>
      <c r="D137" s="4" t="s">
        <v>118</v>
      </c>
      <c r="E137" s="4" t="s">
        <v>14</v>
      </c>
      <c r="F137" s="4" t="s">
        <v>33</v>
      </c>
      <c r="G137" s="4" t="s">
        <v>34</v>
      </c>
      <c r="H137" s="4" t="s">
        <v>330</v>
      </c>
      <c r="I137" s="4">
        <v>12.5</v>
      </c>
      <c r="J137" s="4" t="s">
        <v>331</v>
      </c>
      <c r="K137" s="4" t="s">
        <v>18</v>
      </c>
      <c r="L137">
        <v>0</v>
      </c>
      <c r="M137" s="9">
        <f t="shared" si="15"/>
        <v>303.41499999999996</v>
      </c>
      <c r="N137">
        <v>0</v>
      </c>
      <c r="O137" s="9">
        <v>0</v>
      </c>
      <c r="P137" s="9">
        <f t="shared" si="16"/>
        <v>-303.41499999999996</v>
      </c>
      <c r="Q137" s="16">
        <f t="shared" si="17"/>
        <v>303.41499999999996</v>
      </c>
    </row>
    <row r="138" spans="1:17" x14ac:dyDescent="0.25">
      <c r="A138" s="3">
        <v>2470444</v>
      </c>
      <c r="B138" s="4" t="s">
        <v>332</v>
      </c>
      <c r="C138" s="12">
        <v>300</v>
      </c>
      <c r="D138" s="4" t="s">
        <v>118</v>
      </c>
      <c r="E138" s="4" t="s">
        <v>14</v>
      </c>
      <c r="F138" s="4" t="s">
        <v>33</v>
      </c>
      <c r="G138" s="4" t="s">
        <v>34</v>
      </c>
      <c r="H138" s="4" t="s">
        <v>330</v>
      </c>
      <c r="I138" s="4">
        <v>12.5</v>
      </c>
      <c r="J138" s="4" t="s">
        <v>331</v>
      </c>
      <c r="K138" s="4" t="s">
        <v>18</v>
      </c>
      <c r="L138">
        <v>0</v>
      </c>
      <c r="M138" s="9">
        <f t="shared" si="15"/>
        <v>364.09800000000001</v>
      </c>
      <c r="N138">
        <v>0</v>
      </c>
      <c r="O138" s="9">
        <v>0</v>
      </c>
      <c r="P138" s="9">
        <f t="shared" si="16"/>
        <v>-364.09800000000001</v>
      </c>
      <c r="Q138" s="16">
        <f t="shared" si="17"/>
        <v>364.09800000000001</v>
      </c>
    </row>
    <row r="139" spans="1:17" x14ac:dyDescent="0.25">
      <c r="A139" s="3">
        <v>2470541</v>
      </c>
      <c r="B139" s="4" t="s">
        <v>333</v>
      </c>
      <c r="C139" s="12">
        <v>30</v>
      </c>
      <c r="D139" s="4" t="s">
        <v>334</v>
      </c>
      <c r="E139" s="4" t="s">
        <v>14</v>
      </c>
      <c r="F139" s="4" t="s">
        <v>33</v>
      </c>
      <c r="G139" s="4" t="s">
        <v>34</v>
      </c>
      <c r="H139" s="4" t="s">
        <v>330</v>
      </c>
      <c r="I139" s="4">
        <v>31.5</v>
      </c>
      <c r="J139" s="4" t="s">
        <v>331</v>
      </c>
      <c r="K139" s="4" t="s">
        <v>18</v>
      </c>
      <c r="L139">
        <v>0</v>
      </c>
      <c r="M139" s="9">
        <f t="shared" si="15"/>
        <v>36.409799999999997</v>
      </c>
      <c r="N139">
        <v>0</v>
      </c>
      <c r="O139" s="9">
        <v>0</v>
      </c>
      <c r="P139" s="9">
        <f t="shared" si="16"/>
        <v>-36.409799999999997</v>
      </c>
      <c r="Q139" s="16">
        <f t="shared" si="17"/>
        <v>36.409799999999997</v>
      </c>
    </row>
    <row r="140" spans="1:17" x14ac:dyDescent="0.25">
      <c r="A140" s="3">
        <v>245120</v>
      </c>
      <c r="B140" s="4" t="s">
        <v>335</v>
      </c>
      <c r="C140" s="12">
        <v>216.3</v>
      </c>
      <c r="D140" s="4" t="s">
        <v>118</v>
      </c>
      <c r="E140" s="4" t="s">
        <v>14</v>
      </c>
      <c r="F140" s="4" t="s">
        <v>33</v>
      </c>
      <c r="G140" s="4" t="s">
        <v>34</v>
      </c>
      <c r="H140" s="4" t="s">
        <v>330</v>
      </c>
      <c r="I140" s="4">
        <v>210</v>
      </c>
      <c r="J140" s="4" t="s">
        <v>118</v>
      </c>
      <c r="K140" s="4" t="s">
        <v>18</v>
      </c>
      <c r="L140">
        <v>0</v>
      </c>
      <c r="M140" s="9">
        <f t="shared" si="15"/>
        <v>262.514658</v>
      </c>
      <c r="N140">
        <v>0</v>
      </c>
      <c r="O140" s="9">
        <v>0</v>
      </c>
      <c r="P140" s="9">
        <f t="shared" si="16"/>
        <v>-262.514658</v>
      </c>
      <c r="Q140" s="16">
        <f t="shared" si="17"/>
        <v>262.514658</v>
      </c>
    </row>
    <row r="141" spans="1:17" x14ac:dyDescent="0.25">
      <c r="A141" s="3">
        <v>245523</v>
      </c>
      <c r="B141" s="4" t="s">
        <v>336</v>
      </c>
      <c r="C141" s="12">
        <v>216.3</v>
      </c>
      <c r="D141" s="4" t="s">
        <v>118</v>
      </c>
      <c r="E141" s="4" t="s">
        <v>14</v>
      </c>
      <c r="F141" s="4" t="s">
        <v>33</v>
      </c>
      <c r="G141" s="4" t="s">
        <v>34</v>
      </c>
      <c r="H141" s="4" t="s">
        <v>330</v>
      </c>
      <c r="I141" s="4">
        <v>210</v>
      </c>
      <c r="J141" s="4" t="s">
        <v>118</v>
      </c>
      <c r="K141" s="4" t="s">
        <v>18</v>
      </c>
      <c r="L141">
        <v>0</v>
      </c>
      <c r="M141" s="9">
        <f t="shared" si="15"/>
        <v>262.514658</v>
      </c>
      <c r="N141">
        <v>0</v>
      </c>
      <c r="O141" s="9">
        <v>0</v>
      </c>
      <c r="P141" s="9">
        <f t="shared" si="16"/>
        <v>-262.514658</v>
      </c>
      <c r="Q141" s="16">
        <f t="shared" si="17"/>
        <v>262.514658</v>
      </c>
    </row>
    <row r="142" spans="1:17" x14ac:dyDescent="0.25">
      <c r="A142" s="3">
        <v>246120</v>
      </c>
      <c r="B142" s="4" t="s">
        <v>337</v>
      </c>
      <c r="C142" s="12">
        <v>247.2</v>
      </c>
      <c r="D142" s="4" t="s">
        <v>118</v>
      </c>
      <c r="E142" s="4" t="s">
        <v>14</v>
      </c>
      <c r="F142" s="4" t="s">
        <v>33</v>
      </c>
      <c r="G142" s="4" t="s">
        <v>34</v>
      </c>
      <c r="H142" s="4" t="s">
        <v>330</v>
      </c>
      <c r="I142" s="4">
        <v>12</v>
      </c>
      <c r="J142" s="4" t="s">
        <v>331</v>
      </c>
      <c r="K142" s="4" t="s">
        <v>18</v>
      </c>
      <c r="L142">
        <v>0</v>
      </c>
      <c r="M142" s="9">
        <f t="shared" si="15"/>
        <v>300.016752</v>
      </c>
      <c r="N142">
        <v>0</v>
      </c>
      <c r="O142" s="9">
        <v>0</v>
      </c>
      <c r="P142" s="9">
        <f t="shared" si="16"/>
        <v>-300.016752</v>
      </c>
      <c r="Q142" s="16">
        <f t="shared" si="17"/>
        <v>300.016752</v>
      </c>
    </row>
    <row r="143" spans="1:17" x14ac:dyDescent="0.25">
      <c r="A143" s="3">
        <v>246524</v>
      </c>
      <c r="B143" s="4" t="s">
        <v>338</v>
      </c>
      <c r="C143" s="12">
        <v>267.8</v>
      </c>
      <c r="D143" s="4" t="s">
        <v>118</v>
      </c>
      <c r="E143" s="4" t="s">
        <v>14</v>
      </c>
      <c r="F143" s="4" t="s">
        <v>33</v>
      </c>
      <c r="G143" s="4" t="s">
        <v>34</v>
      </c>
      <c r="H143" s="4" t="s">
        <v>330</v>
      </c>
      <c r="I143" s="4">
        <v>10.833299999999999</v>
      </c>
      <c r="J143" s="4" t="s">
        <v>331</v>
      </c>
      <c r="K143" s="4" t="s">
        <v>18</v>
      </c>
      <c r="L143">
        <v>0</v>
      </c>
      <c r="M143" s="9">
        <f t="shared" si="15"/>
        <v>325.018148</v>
      </c>
      <c r="N143">
        <v>0</v>
      </c>
      <c r="O143" s="9">
        <v>0</v>
      </c>
      <c r="P143" s="9">
        <f t="shared" si="16"/>
        <v>-325.018148</v>
      </c>
      <c r="Q143" s="16">
        <f t="shared" si="17"/>
        <v>325.018148</v>
      </c>
    </row>
    <row r="144" spans="1:17" x14ac:dyDescent="0.25">
      <c r="A144" s="3" t="s">
        <v>339</v>
      </c>
      <c r="B144" s="4" t="s">
        <v>340</v>
      </c>
      <c r="C144" s="12">
        <f>I144*3%+I144</f>
        <v>58.401000000000003</v>
      </c>
      <c r="D144" s="4" t="s">
        <v>118</v>
      </c>
      <c r="E144" s="4" t="s">
        <v>14</v>
      </c>
      <c r="F144" s="4" t="s">
        <v>119</v>
      </c>
      <c r="G144" s="4" t="s">
        <v>120</v>
      </c>
      <c r="H144" s="4" t="s">
        <v>23</v>
      </c>
      <c r="I144" s="4">
        <v>56.7</v>
      </c>
      <c r="J144" s="4" t="s">
        <v>118</v>
      </c>
      <c r="K144" s="4" t="s">
        <v>18</v>
      </c>
      <c r="L144" t="s">
        <v>339</v>
      </c>
      <c r="M144" s="9">
        <f t="shared" si="15"/>
        <v>70.878957659999998</v>
      </c>
      <c r="N144">
        <v>0</v>
      </c>
      <c r="O144" s="9">
        <v>0</v>
      </c>
      <c r="P144" s="9">
        <f t="shared" si="16"/>
        <v>-70.878957659999998</v>
      </c>
      <c r="Q144" s="16">
        <f t="shared" si="17"/>
        <v>70.878957659999998</v>
      </c>
    </row>
    <row r="145" spans="1:17" x14ac:dyDescent="0.25">
      <c r="A145" s="3" t="s">
        <v>341</v>
      </c>
      <c r="B145" s="4" t="s">
        <v>342</v>
      </c>
      <c r="C145" s="12">
        <v>19</v>
      </c>
      <c r="D145" s="4" t="s">
        <v>13</v>
      </c>
      <c r="E145" s="4" t="s">
        <v>14</v>
      </c>
      <c r="F145" s="4" t="s">
        <v>33</v>
      </c>
      <c r="G145" s="4" t="s">
        <v>34</v>
      </c>
      <c r="H145" s="4" t="s">
        <v>198</v>
      </c>
      <c r="I145" s="4">
        <v>7.35</v>
      </c>
      <c r="J145" s="4" t="s">
        <v>13</v>
      </c>
      <c r="K145" s="4" t="s">
        <v>18</v>
      </c>
      <c r="L145" t="s">
        <v>341</v>
      </c>
      <c r="M145" s="9">
        <f t="shared" si="15"/>
        <v>23.059539999999998</v>
      </c>
      <c r="N145">
        <v>0</v>
      </c>
      <c r="O145" s="9">
        <v>0</v>
      </c>
      <c r="P145" s="9">
        <f t="shared" si="16"/>
        <v>-23.059539999999998</v>
      </c>
      <c r="Q145" s="16">
        <f t="shared" si="17"/>
        <v>23.059539999999998</v>
      </c>
    </row>
    <row r="146" spans="1:17" x14ac:dyDescent="0.25">
      <c r="A146" s="3" t="s">
        <v>343</v>
      </c>
      <c r="B146" s="4" t="s">
        <v>344</v>
      </c>
      <c r="C146" s="12">
        <f>I146*3%+I146</f>
        <v>0.90639999999999998</v>
      </c>
      <c r="D146" s="4" t="s">
        <v>13</v>
      </c>
      <c r="E146" s="4" t="s">
        <v>14</v>
      </c>
      <c r="F146" s="4" t="s">
        <v>33</v>
      </c>
      <c r="G146" s="4" t="s">
        <v>34</v>
      </c>
      <c r="H146" s="4" t="s">
        <v>76</v>
      </c>
      <c r="I146" s="4">
        <v>0.88</v>
      </c>
      <c r="J146" s="4" t="s">
        <v>13</v>
      </c>
      <c r="K146" s="4" t="s">
        <v>18</v>
      </c>
      <c r="L146" t="s">
        <v>343</v>
      </c>
      <c r="M146" s="9">
        <f t="shared" si="15"/>
        <v>1.100061424</v>
      </c>
      <c r="N146">
        <v>0</v>
      </c>
      <c r="O146" s="9">
        <v>0</v>
      </c>
      <c r="P146" s="9">
        <f t="shared" si="16"/>
        <v>-1.100061424</v>
      </c>
      <c r="Q146" s="16">
        <f t="shared" si="17"/>
        <v>1.100061424</v>
      </c>
    </row>
    <row r="147" spans="1:17" x14ac:dyDescent="0.25">
      <c r="A147" s="3" t="s">
        <v>345</v>
      </c>
      <c r="B147" s="4" t="s">
        <v>346</v>
      </c>
      <c r="C147" s="12">
        <f t="shared" ref="C147:C149" si="18">I147*3%+I147</f>
        <v>22.804200000000002</v>
      </c>
      <c r="D147" s="4" t="s">
        <v>124</v>
      </c>
      <c r="E147" s="4" t="s">
        <v>14</v>
      </c>
      <c r="F147" s="4" t="s">
        <v>44</v>
      </c>
      <c r="G147" s="4" t="s">
        <v>45</v>
      </c>
      <c r="H147" s="4" t="s">
        <v>347</v>
      </c>
      <c r="I147" s="4">
        <v>22.14</v>
      </c>
      <c r="J147" s="4" t="s">
        <v>124</v>
      </c>
      <c r="K147" s="4" t="s">
        <v>18</v>
      </c>
      <c r="L147" t="s">
        <v>345</v>
      </c>
      <c r="M147" s="9">
        <f t="shared" si="15"/>
        <v>27.676545372</v>
      </c>
      <c r="N147">
        <v>0</v>
      </c>
      <c r="O147" s="9">
        <v>0</v>
      </c>
      <c r="P147" s="9">
        <f t="shared" si="16"/>
        <v>-27.676545372</v>
      </c>
      <c r="Q147" s="16">
        <f t="shared" si="17"/>
        <v>27.676545372</v>
      </c>
    </row>
    <row r="148" spans="1:17" x14ac:dyDescent="0.25">
      <c r="A148" s="3" t="s">
        <v>348</v>
      </c>
      <c r="B148" s="4" t="s">
        <v>349</v>
      </c>
      <c r="C148" s="12">
        <f t="shared" si="18"/>
        <v>51.911999999999999</v>
      </c>
      <c r="D148" s="4" t="s">
        <v>13</v>
      </c>
      <c r="E148" s="4" t="s">
        <v>23</v>
      </c>
      <c r="F148" s="4" t="s">
        <v>49</v>
      </c>
      <c r="G148" s="4" t="s">
        <v>50</v>
      </c>
      <c r="H148" s="4" t="s">
        <v>50</v>
      </c>
      <c r="I148" s="4">
        <v>50.4</v>
      </c>
      <c r="J148" s="4" t="s">
        <v>13</v>
      </c>
      <c r="K148" s="4" t="s">
        <v>18</v>
      </c>
      <c r="L148" t="s">
        <v>348</v>
      </c>
      <c r="M148" s="9">
        <f t="shared" si="15"/>
        <v>63.00351792</v>
      </c>
      <c r="N148">
        <v>0</v>
      </c>
      <c r="O148" s="9">
        <v>0</v>
      </c>
      <c r="P148" s="9">
        <f t="shared" si="16"/>
        <v>-63.00351792</v>
      </c>
      <c r="Q148" s="16">
        <f t="shared" si="17"/>
        <v>63.00351792</v>
      </c>
    </row>
    <row r="149" spans="1:17" x14ac:dyDescent="0.25">
      <c r="A149" s="3" t="s">
        <v>350</v>
      </c>
      <c r="B149" s="4" t="s">
        <v>351</v>
      </c>
      <c r="C149" s="12">
        <f t="shared" si="18"/>
        <v>46.319099999999999</v>
      </c>
      <c r="D149" s="4" t="s">
        <v>13</v>
      </c>
      <c r="E149" s="4" t="s">
        <v>14</v>
      </c>
      <c r="F149" s="4" t="s">
        <v>33</v>
      </c>
      <c r="G149" s="4" t="s">
        <v>34</v>
      </c>
      <c r="H149" s="4" t="s">
        <v>115</v>
      </c>
      <c r="I149" s="4">
        <v>44.97</v>
      </c>
      <c r="J149" s="4" t="s">
        <v>13</v>
      </c>
      <c r="K149" s="4" t="s">
        <v>18</v>
      </c>
      <c r="L149" t="s">
        <v>350</v>
      </c>
      <c r="M149" s="9">
        <f t="shared" si="15"/>
        <v>56.215638905999995</v>
      </c>
      <c r="N149">
        <v>0</v>
      </c>
      <c r="O149" s="9">
        <v>0</v>
      </c>
      <c r="P149" s="9">
        <f t="shared" si="16"/>
        <v>-56.215638905999995</v>
      </c>
      <c r="Q149" s="16">
        <f t="shared" si="17"/>
        <v>56.215638905999995</v>
      </c>
    </row>
    <row r="150" spans="1:17" x14ac:dyDescent="0.25">
      <c r="A150" s="3" t="s">
        <v>352</v>
      </c>
      <c r="B150" s="4" t="s">
        <v>353</v>
      </c>
      <c r="C150" s="12">
        <v>194.67</v>
      </c>
      <c r="D150" s="4" t="s">
        <v>13</v>
      </c>
      <c r="E150" s="4" t="s">
        <v>14</v>
      </c>
      <c r="F150" s="4" t="s">
        <v>33</v>
      </c>
      <c r="G150" s="4" t="s">
        <v>34</v>
      </c>
      <c r="H150" s="4" t="s">
        <v>115</v>
      </c>
      <c r="I150" s="4">
        <v>189</v>
      </c>
      <c r="J150" s="4" t="s">
        <v>13</v>
      </c>
      <c r="K150" s="4" t="s">
        <v>18</v>
      </c>
      <c r="L150" t="s">
        <v>352</v>
      </c>
      <c r="M150" s="9">
        <f t="shared" si="15"/>
        <v>236.26319219999996</v>
      </c>
      <c r="N150">
        <v>0</v>
      </c>
      <c r="O150" s="9">
        <v>0</v>
      </c>
      <c r="P150" s="9">
        <f t="shared" si="16"/>
        <v>-236.26319219999996</v>
      </c>
      <c r="Q150" s="16">
        <f t="shared" si="17"/>
        <v>236.26319219999996</v>
      </c>
    </row>
    <row r="151" spans="1:17" x14ac:dyDescent="0.25">
      <c r="A151" s="3" t="s">
        <v>354</v>
      </c>
      <c r="B151" s="4" t="s">
        <v>355</v>
      </c>
      <c r="C151" s="12">
        <v>281.19</v>
      </c>
      <c r="D151" s="4" t="s">
        <v>13</v>
      </c>
      <c r="E151" s="4" t="s">
        <v>14</v>
      </c>
      <c r="F151" s="4" t="s">
        <v>33</v>
      </c>
      <c r="G151" s="4" t="s">
        <v>34</v>
      </c>
      <c r="H151" s="4" t="s">
        <v>115</v>
      </c>
      <c r="I151" s="4">
        <v>273</v>
      </c>
      <c r="J151" s="4" t="s">
        <v>13</v>
      </c>
      <c r="K151" s="4" t="s">
        <v>18</v>
      </c>
      <c r="L151" t="s">
        <v>354</v>
      </c>
      <c r="M151" s="9">
        <f t="shared" si="15"/>
        <v>341.26905540000001</v>
      </c>
      <c r="N151">
        <v>0</v>
      </c>
      <c r="O151" s="9">
        <v>0</v>
      </c>
      <c r="P151" s="9">
        <f t="shared" si="16"/>
        <v>-341.26905540000001</v>
      </c>
      <c r="Q151" s="16">
        <f t="shared" si="17"/>
        <v>341.26905540000001</v>
      </c>
    </row>
    <row r="152" spans="1:17" x14ac:dyDescent="0.25">
      <c r="A152" s="3" t="s">
        <v>356</v>
      </c>
      <c r="B152" s="4" t="s">
        <v>357</v>
      </c>
      <c r="C152" s="12">
        <f>I152*3%+I152</f>
        <v>31.5489</v>
      </c>
      <c r="D152" s="4" t="s">
        <v>32</v>
      </c>
      <c r="E152" s="4" t="s">
        <v>14</v>
      </c>
      <c r="F152" s="4" t="s">
        <v>33</v>
      </c>
      <c r="G152" s="4" t="s">
        <v>34</v>
      </c>
      <c r="H152" s="4" t="s">
        <v>265</v>
      </c>
      <c r="I152" s="4">
        <v>30.63</v>
      </c>
      <c r="J152" s="4" t="s">
        <v>32</v>
      </c>
      <c r="K152" s="4" t="s">
        <v>18</v>
      </c>
      <c r="L152" t="s">
        <v>356</v>
      </c>
      <c r="M152" s="9">
        <f t="shared" si="15"/>
        <v>38.289637974000001</v>
      </c>
      <c r="N152" t="s">
        <v>356</v>
      </c>
      <c r="O152" s="9">
        <v>38.2851</v>
      </c>
      <c r="P152" s="9">
        <f t="shared" si="16"/>
        <v>-4.5379740000015545E-3</v>
      </c>
      <c r="Q152" s="16">
        <f t="shared" si="17"/>
        <v>38.289637974000001</v>
      </c>
    </row>
    <row r="153" spans="1:17" x14ac:dyDescent="0.25">
      <c r="A153" s="3" t="s">
        <v>358</v>
      </c>
      <c r="B153" s="4" t="s">
        <v>359</v>
      </c>
      <c r="C153" s="12">
        <f>I153*3%+I153</f>
        <v>601.42729999999995</v>
      </c>
      <c r="D153" s="4" t="s">
        <v>13</v>
      </c>
      <c r="E153" s="4" t="s">
        <v>14</v>
      </c>
      <c r="F153" s="4" t="s">
        <v>33</v>
      </c>
      <c r="G153" s="4" t="s">
        <v>34</v>
      </c>
      <c r="H153" s="4" t="s">
        <v>231</v>
      </c>
      <c r="I153" s="4">
        <v>583.91</v>
      </c>
      <c r="J153" s="4" t="s">
        <v>13</v>
      </c>
      <c r="K153" s="4" t="s">
        <v>18</v>
      </c>
      <c r="L153" t="s">
        <v>358</v>
      </c>
      <c r="M153" s="9">
        <f t="shared" si="15"/>
        <v>729.92825691799987</v>
      </c>
      <c r="N153">
        <v>0</v>
      </c>
      <c r="O153" s="9">
        <v>0</v>
      </c>
      <c r="P153" s="9">
        <f t="shared" si="16"/>
        <v>-729.92825691799987</v>
      </c>
      <c r="Q153" s="16">
        <f t="shared" si="17"/>
        <v>729.92825691799987</v>
      </c>
    </row>
    <row r="154" spans="1:17" x14ac:dyDescent="0.25">
      <c r="A154" s="3" t="s">
        <v>360</v>
      </c>
      <c r="B154" s="4" t="s">
        <v>361</v>
      </c>
      <c r="C154" s="12">
        <v>40</v>
      </c>
      <c r="D154" s="4" t="s">
        <v>32</v>
      </c>
      <c r="E154" s="4" t="s">
        <v>14</v>
      </c>
      <c r="F154" s="4" t="s">
        <v>33</v>
      </c>
      <c r="G154" s="4" t="s">
        <v>34</v>
      </c>
      <c r="H154" s="4" t="s">
        <v>265</v>
      </c>
      <c r="I154" s="4">
        <v>48.3</v>
      </c>
      <c r="J154" s="4" t="s">
        <v>32</v>
      </c>
      <c r="K154" s="4" t="s">
        <v>18</v>
      </c>
      <c r="L154" t="s">
        <v>360</v>
      </c>
      <c r="M154" s="9">
        <f t="shared" si="15"/>
        <v>48.546399999999998</v>
      </c>
      <c r="N154" t="s">
        <v>360</v>
      </c>
      <c r="O154" s="9">
        <v>60.378599999999999</v>
      </c>
      <c r="P154" s="9">
        <f t="shared" si="16"/>
        <v>11.8322</v>
      </c>
      <c r="Q154" s="16">
        <f t="shared" si="17"/>
        <v>48.546399999999998</v>
      </c>
    </row>
    <row r="155" spans="1:17" x14ac:dyDescent="0.25">
      <c r="A155" s="3" t="s">
        <v>362</v>
      </c>
      <c r="B155" s="4" t="s">
        <v>363</v>
      </c>
      <c r="C155" s="12">
        <v>48</v>
      </c>
      <c r="D155" s="4" t="s">
        <v>111</v>
      </c>
      <c r="E155" s="4" t="s">
        <v>14</v>
      </c>
      <c r="F155" s="4" t="s">
        <v>33</v>
      </c>
      <c r="G155" s="4" t="s">
        <v>34</v>
      </c>
      <c r="H155" s="4" t="s">
        <v>265</v>
      </c>
      <c r="I155" s="4">
        <v>66.510000000000005</v>
      </c>
      <c r="J155" s="4" t="s">
        <v>111</v>
      </c>
      <c r="K155" s="4" t="s">
        <v>18</v>
      </c>
      <c r="L155" t="s">
        <v>362</v>
      </c>
      <c r="M155" s="9">
        <f t="shared" si="15"/>
        <v>58.255679999999998</v>
      </c>
      <c r="N155" t="s">
        <v>362</v>
      </c>
      <c r="O155" s="9">
        <v>83.141599999999997</v>
      </c>
      <c r="P155" s="9">
        <f t="shared" si="16"/>
        <v>24.885919999999999</v>
      </c>
      <c r="Q155" s="16">
        <f t="shared" si="17"/>
        <v>58.255679999999998</v>
      </c>
    </row>
    <row r="156" spans="1:17" x14ac:dyDescent="0.25">
      <c r="A156" s="3" t="s">
        <v>364</v>
      </c>
      <c r="B156" s="4" t="s">
        <v>365</v>
      </c>
      <c r="C156" s="12">
        <f>I156*3%+I156</f>
        <v>47.977399999999996</v>
      </c>
      <c r="D156" s="4" t="s">
        <v>32</v>
      </c>
      <c r="E156" s="4" t="s">
        <v>14</v>
      </c>
      <c r="F156" s="4" t="s">
        <v>33</v>
      </c>
      <c r="G156" s="4" t="s">
        <v>34</v>
      </c>
      <c r="H156" s="4" t="s">
        <v>265</v>
      </c>
      <c r="I156" s="4">
        <v>46.58</v>
      </c>
      <c r="J156" s="4" t="s">
        <v>32</v>
      </c>
      <c r="K156" s="4" t="s">
        <v>18</v>
      </c>
      <c r="L156" t="s">
        <v>364</v>
      </c>
      <c r="M156" s="9">
        <f t="shared" si="15"/>
        <v>58.228251283999995</v>
      </c>
      <c r="N156" t="s">
        <v>364</v>
      </c>
      <c r="O156" s="9">
        <v>21.496099999999998</v>
      </c>
      <c r="P156" s="9">
        <f t="shared" si="16"/>
        <v>-36.732151283999997</v>
      </c>
      <c r="Q156" s="16">
        <f t="shared" si="17"/>
        <v>58.228251283999995</v>
      </c>
    </row>
    <row r="157" spans="1:17" x14ac:dyDescent="0.25">
      <c r="A157" s="3" t="s">
        <v>366</v>
      </c>
      <c r="B157" s="4" t="s">
        <v>367</v>
      </c>
      <c r="C157" s="12">
        <v>88</v>
      </c>
      <c r="D157" s="4" t="s">
        <v>242</v>
      </c>
      <c r="E157" s="4" t="s">
        <v>14</v>
      </c>
      <c r="F157" s="4" t="s">
        <v>33</v>
      </c>
      <c r="G157" s="4" t="s">
        <v>34</v>
      </c>
      <c r="H157" s="4" t="s">
        <v>265</v>
      </c>
      <c r="I157" s="4">
        <v>90.93</v>
      </c>
      <c r="J157" s="4" t="s">
        <v>242</v>
      </c>
      <c r="K157" s="4" t="s">
        <v>18</v>
      </c>
      <c r="L157" t="s">
        <v>366</v>
      </c>
      <c r="M157" s="9">
        <f t="shared" si="15"/>
        <v>106.80207999999999</v>
      </c>
      <c r="N157" t="s">
        <v>366</v>
      </c>
      <c r="O157" s="9">
        <v>113.6708</v>
      </c>
      <c r="P157" s="9">
        <f t="shared" si="16"/>
        <v>6.8687200000000104</v>
      </c>
      <c r="Q157" s="16">
        <f t="shared" si="17"/>
        <v>106.80207999999999</v>
      </c>
    </row>
    <row r="158" spans="1:17" x14ac:dyDescent="0.25">
      <c r="A158" s="3" t="s">
        <v>368</v>
      </c>
      <c r="B158" s="4" t="s">
        <v>369</v>
      </c>
      <c r="C158" s="12">
        <f>I158*3%+I158</f>
        <v>0</v>
      </c>
      <c r="D158" s="4" t="s">
        <v>111</v>
      </c>
      <c r="E158" s="4" t="s">
        <v>14</v>
      </c>
      <c r="F158" s="4" t="s">
        <v>33</v>
      </c>
      <c r="G158" s="4" t="s">
        <v>34</v>
      </c>
      <c r="H158" s="4" t="s">
        <v>265</v>
      </c>
      <c r="I158" s="4">
        <v>0</v>
      </c>
      <c r="J158" s="4" t="s">
        <v>111</v>
      </c>
      <c r="K158" s="4" t="s">
        <v>18</v>
      </c>
      <c r="L158" t="s">
        <v>368</v>
      </c>
      <c r="M158" s="9">
        <f t="shared" si="15"/>
        <v>0</v>
      </c>
      <c r="N158">
        <v>0</v>
      </c>
      <c r="O158" s="9">
        <v>0</v>
      </c>
      <c r="P158" s="9">
        <f t="shared" si="16"/>
        <v>0</v>
      </c>
      <c r="Q158" s="16">
        <f t="shared" si="17"/>
        <v>0</v>
      </c>
    </row>
    <row r="159" spans="1:17" x14ac:dyDescent="0.25">
      <c r="A159" s="3" t="s">
        <v>370</v>
      </c>
      <c r="B159" s="4" t="s">
        <v>371</v>
      </c>
      <c r="C159" s="12">
        <f t="shared" ref="C159:C161" si="19">I159*3%+I159</f>
        <v>46.35</v>
      </c>
      <c r="D159" s="4" t="s">
        <v>32</v>
      </c>
      <c r="E159" s="4" t="s">
        <v>14</v>
      </c>
      <c r="F159" s="4" t="s">
        <v>33</v>
      </c>
      <c r="G159" s="4" t="s">
        <v>34</v>
      </c>
      <c r="H159" s="4" t="s">
        <v>265</v>
      </c>
      <c r="I159" s="4">
        <v>45</v>
      </c>
      <c r="J159" s="4" t="s">
        <v>32</v>
      </c>
      <c r="K159" s="4" t="s">
        <v>18</v>
      </c>
      <c r="L159" t="s">
        <v>370</v>
      </c>
      <c r="M159" s="9">
        <f t="shared" si="15"/>
        <v>56.253140999999999</v>
      </c>
      <c r="N159">
        <v>0</v>
      </c>
      <c r="O159" s="9">
        <v>0</v>
      </c>
      <c r="P159" s="9">
        <f t="shared" si="16"/>
        <v>-56.253140999999999</v>
      </c>
      <c r="Q159" s="16">
        <f t="shared" si="17"/>
        <v>56.253140999999999</v>
      </c>
    </row>
    <row r="160" spans="1:17" x14ac:dyDescent="0.25">
      <c r="A160" s="3" t="s">
        <v>372</v>
      </c>
      <c r="B160" s="4" t="s">
        <v>373</v>
      </c>
      <c r="C160" s="12">
        <f t="shared" si="19"/>
        <v>14.214</v>
      </c>
      <c r="D160" s="4" t="s">
        <v>111</v>
      </c>
      <c r="E160" s="4" t="s">
        <v>14</v>
      </c>
      <c r="F160" s="4" t="s">
        <v>33</v>
      </c>
      <c r="G160" s="4" t="s">
        <v>34</v>
      </c>
      <c r="H160" s="4" t="s">
        <v>265</v>
      </c>
      <c r="I160" s="4">
        <v>13.8</v>
      </c>
      <c r="J160" s="4" t="s">
        <v>111</v>
      </c>
      <c r="K160" s="4" t="s">
        <v>18</v>
      </c>
      <c r="L160" t="s">
        <v>372</v>
      </c>
      <c r="M160" s="9">
        <f t="shared" si="15"/>
        <v>17.250963240000001</v>
      </c>
      <c r="N160">
        <v>0</v>
      </c>
      <c r="O160" s="9">
        <v>0</v>
      </c>
      <c r="P160" s="9">
        <f t="shared" si="16"/>
        <v>-17.250963240000001</v>
      </c>
      <c r="Q160" s="16">
        <f t="shared" si="17"/>
        <v>17.250963240000001</v>
      </c>
    </row>
    <row r="161" spans="1:17" x14ac:dyDescent="0.25">
      <c r="A161" s="3" t="s">
        <v>374</v>
      </c>
      <c r="B161" s="4" t="s">
        <v>375</v>
      </c>
      <c r="C161" s="12">
        <f t="shared" si="19"/>
        <v>27.748200000000001</v>
      </c>
      <c r="D161" s="4" t="s">
        <v>32</v>
      </c>
      <c r="E161" s="4" t="s">
        <v>14</v>
      </c>
      <c r="F161" s="4" t="s">
        <v>33</v>
      </c>
      <c r="G161" s="4" t="s">
        <v>34</v>
      </c>
      <c r="H161" s="4" t="s">
        <v>265</v>
      </c>
      <c r="I161" s="4">
        <v>26.94</v>
      </c>
      <c r="J161" s="4" t="s">
        <v>32</v>
      </c>
      <c r="K161" s="4" t="s">
        <v>18</v>
      </c>
      <c r="L161" t="s">
        <v>374</v>
      </c>
      <c r="M161" s="9">
        <f t="shared" si="15"/>
        <v>33.676880412000003</v>
      </c>
      <c r="N161">
        <v>0</v>
      </c>
      <c r="O161" s="9">
        <v>0</v>
      </c>
      <c r="P161" s="9">
        <f t="shared" si="16"/>
        <v>-33.676880412000003</v>
      </c>
      <c r="Q161" s="16">
        <f t="shared" si="17"/>
        <v>33.676880412000003</v>
      </c>
    </row>
    <row r="162" spans="1:17" x14ac:dyDescent="0.25">
      <c r="A162" s="3">
        <v>7268020</v>
      </c>
      <c r="B162" s="4" t="s">
        <v>376</v>
      </c>
      <c r="C162" s="12">
        <v>76.239999999999995</v>
      </c>
      <c r="D162" s="4" t="s">
        <v>111</v>
      </c>
      <c r="E162" s="4" t="s">
        <v>14</v>
      </c>
      <c r="F162" s="4" t="s">
        <v>33</v>
      </c>
      <c r="G162" s="4" t="s">
        <v>34</v>
      </c>
      <c r="H162" s="4" t="s">
        <v>377</v>
      </c>
      <c r="I162" s="4"/>
      <c r="J162" s="4" t="s">
        <v>111</v>
      </c>
      <c r="K162" s="4" t="s">
        <v>18</v>
      </c>
      <c r="L162">
        <v>0</v>
      </c>
      <c r="M162" s="9">
        <f t="shared" si="15"/>
        <v>92.529438399999989</v>
      </c>
      <c r="N162">
        <v>0</v>
      </c>
      <c r="O162" s="9">
        <v>0</v>
      </c>
      <c r="P162" s="9">
        <f t="shared" si="16"/>
        <v>-92.529438399999989</v>
      </c>
      <c r="Q162" s="16">
        <f t="shared" si="17"/>
        <v>92.529438399999989</v>
      </c>
    </row>
    <row r="163" spans="1:17" x14ac:dyDescent="0.25">
      <c r="A163" s="3">
        <v>176160</v>
      </c>
      <c r="B163" s="4" t="s">
        <v>378</v>
      </c>
      <c r="C163" s="12">
        <v>92</v>
      </c>
      <c r="D163" s="4" t="s">
        <v>191</v>
      </c>
      <c r="E163" s="4" t="s">
        <v>14</v>
      </c>
      <c r="F163" s="4" t="s">
        <v>33</v>
      </c>
      <c r="G163" s="4" t="s">
        <v>34</v>
      </c>
      <c r="H163" s="4" t="s">
        <v>180</v>
      </c>
      <c r="I163" s="4">
        <v>9.4309999999999992</v>
      </c>
      <c r="J163" s="4" t="s">
        <v>379</v>
      </c>
      <c r="K163" s="4" t="s">
        <v>18</v>
      </c>
      <c r="L163">
        <v>0</v>
      </c>
      <c r="M163" s="9">
        <f t="shared" si="15"/>
        <v>111.65671999999999</v>
      </c>
      <c r="N163">
        <v>0</v>
      </c>
      <c r="O163" s="9">
        <v>0</v>
      </c>
      <c r="P163" s="9">
        <f t="shared" si="16"/>
        <v>-111.65671999999999</v>
      </c>
      <c r="Q163" s="16">
        <f t="shared" si="17"/>
        <v>111.65671999999999</v>
      </c>
    </row>
    <row r="164" spans="1:17" x14ac:dyDescent="0.25">
      <c r="A164" s="3">
        <v>176560</v>
      </c>
      <c r="B164" s="4" t="s">
        <v>380</v>
      </c>
      <c r="C164" s="12">
        <v>92</v>
      </c>
      <c r="D164" s="4" t="s">
        <v>191</v>
      </c>
      <c r="E164" s="4" t="s">
        <v>14</v>
      </c>
      <c r="F164" s="4" t="s">
        <v>33</v>
      </c>
      <c r="G164" s="4" t="s">
        <v>34</v>
      </c>
      <c r="H164" s="4" t="s">
        <v>180</v>
      </c>
      <c r="I164" s="4">
        <v>14.1286</v>
      </c>
      <c r="J164" s="4" t="s">
        <v>379</v>
      </c>
      <c r="K164" s="4" t="s">
        <v>18</v>
      </c>
      <c r="L164">
        <v>0</v>
      </c>
      <c r="M164" s="9">
        <f t="shared" si="15"/>
        <v>111.65671999999999</v>
      </c>
      <c r="N164">
        <v>0</v>
      </c>
      <c r="O164" s="9">
        <v>0</v>
      </c>
      <c r="P164" s="9">
        <f t="shared" si="16"/>
        <v>-111.65671999999999</v>
      </c>
      <c r="Q164" s="16">
        <f t="shared" si="17"/>
        <v>111.65671999999999</v>
      </c>
    </row>
    <row r="165" spans="1:17" x14ac:dyDescent="0.25">
      <c r="A165" s="3">
        <v>176660</v>
      </c>
      <c r="B165" s="4" t="s">
        <v>381</v>
      </c>
      <c r="C165" s="12">
        <v>92</v>
      </c>
      <c r="D165" s="4" t="s">
        <v>191</v>
      </c>
      <c r="E165" s="4" t="s">
        <v>14</v>
      </c>
      <c r="F165" s="4" t="s">
        <v>33</v>
      </c>
      <c r="G165" s="4" t="s">
        <v>34</v>
      </c>
      <c r="H165" s="4" t="s">
        <v>180</v>
      </c>
      <c r="I165" s="4">
        <v>23.564</v>
      </c>
      <c r="J165" s="4" t="s">
        <v>379</v>
      </c>
      <c r="K165" s="4" t="s">
        <v>18</v>
      </c>
      <c r="L165">
        <v>0</v>
      </c>
      <c r="M165" s="9">
        <f t="shared" si="15"/>
        <v>111.65671999999999</v>
      </c>
      <c r="N165">
        <v>0</v>
      </c>
      <c r="O165" s="9">
        <v>0</v>
      </c>
      <c r="P165" s="9">
        <f t="shared" si="16"/>
        <v>-111.65671999999999</v>
      </c>
      <c r="Q165" s="16">
        <f t="shared" si="17"/>
        <v>111.65671999999999</v>
      </c>
    </row>
    <row r="166" spans="1:17" x14ac:dyDescent="0.25">
      <c r="A166" s="3">
        <v>1774631</v>
      </c>
      <c r="B166" s="4" t="s">
        <v>382</v>
      </c>
      <c r="C166" s="12">
        <v>339.9</v>
      </c>
      <c r="D166" s="4" t="s">
        <v>191</v>
      </c>
      <c r="E166" s="4" t="s">
        <v>14</v>
      </c>
      <c r="F166" s="4" t="s">
        <v>33</v>
      </c>
      <c r="G166" s="4" t="s">
        <v>34</v>
      </c>
      <c r="H166" s="4" t="s">
        <v>180</v>
      </c>
      <c r="I166" s="4">
        <v>330</v>
      </c>
      <c r="J166" s="4" t="s">
        <v>383</v>
      </c>
      <c r="K166" s="4" t="s">
        <v>18</v>
      </c>
      <c r="L166">
        <v>0</v>
      </c>
      <c r="M166" s="9">
        <f t="shared" si="15"/>
        <v>412.52303399999994</v>
      </c>
      <c r="N166">
        <v>0</v>
      </c>
      <c r="O166" s="9">
        <v>0</v>
      </c>
      <c r="P166" s="9">
        <f t="shared" si="16"/>
        <v>-412.52303399999994</v>
      </c>
      <c r="Q166" s="16">
        <f t="shared" si="17"/>
        <v>412.52303399999994</v>
      </c>
    </row>
    <row r="167" spans="1:17" x14ac:dyDescent="0.25">
      <c r="A167" s="3">
        <v>177142</v>
      </c>
      <c r="B167" s="4" t="s">
        <v>384</v>
      </c>
      <c r="C167" s="12">
        <v>12</v>
      </c>
      <c r="D167" s="4" t="s">
        <v>124</v>
      </c>
      <c r="E167" s="4" t="s">
        <v>14</v>
      </c>
      <c r="F167" s="4" t="s">
        <v>33</v>
      </c>
      <c r="G167" s="4" t="s">
        <v>34</v>
      </c>
      <c r="H167" s="4" t="s">
        <v>180</v>
      </c>
      <c r="I167" s="4">
        <v>12.23</v>
      </c>
      <c r="J167" s="4" t="s">
        <v>124</v>
      </c>
      <c r="K167" s="4" t="s">
        <v>18</v>
      </c>
      <c r="L167">
        <v>0</v>
      </c>
      <c r="M167" s="9">
        <f t="shared" si="15"/>
        <v>14.56392</v>
      </c>
      <c r="N167">
        <v>0</v>
      </c>
      <c r="O167" s="9">
        <v>0</v>
      </c>
      <c r="P167" s="9">
        <f t="shared" si="16"/>
        <v>-14.56392</v>
      </c>
      <c r="Q167" s="16">
        <f t="shared" si="17"/>
        <v>14.56392</v>
      </c>
    </row>
    <row r="168" spans="1:17" x14ac:dyDescent="0.25">
      <c r="A168" s="3" t="s">
        <v>385</v>
      </c>
      <c r="B168" s="4" t="s">
        <v>386</v>
      </c>
      <c r="C168" s="12">
        <f>I168*3%+I168</f>
        <v>1622.25</v>
      </c>
      <c r="D168" s="4" t="s">
        <v>242</v>
      </c>
      <c r="E168" s="4" t="s">
        <v>14</v>
      </c>
      <c r="F168" s="4" t="s">
        <v>33</v>
      </c>
      <c r="G168" s="4" t="s">
        <v>34</v>
      </c>
      <c r="H168" s="4" t="s">
        <v>387</v>
      </c>
      <c r="I168" s="4">
        <v>1575</v>
      </c>
      <c r="J168" s="4" t="s">
        <v>13</v>
      </c>
      <c r="K168" s="4" t="s">
        <v>18</v>
      </c>
      <c r="L168">
        <v>0</v>
      </c>
      <c r="M168" s="9">
        <f t="shared" si="15"/>
        <v>1968.859935</v>
      </c>
      <c r="N168">
        <v>0</v>
      </c>
      <c r="O168" s="9">
        <v>0</v>
      </c>
      <c r="P168" s="9">
        <f t="shared" si="16"/>
        <v>-1968.859935</v>
      </c>
      <c r="Q168" s="16">
        <f t="shared" si="17"/>
        <v>1968.859935</v>
      </c>
    </row>
    <row r="169" spans="1:17" x14ac:dyDescent="0.25">
      <c r="A169" s="3" t="s">
        <v>388</v>
      </c>
      <c r="B169" s="4" t="s">
        <v>389</v>
      </c>
      <c r="C169" s="12">
        <v>1131.52</v>
      </c>
      <c r="D169" s="4" t="s">
        <v>242</v>
      </c>
      <c r="E169" s="4" t="s">
        <v>14</v>
      </c>
      <c r="F169" s="4" t="s">
        <v>33</v>
      </c>
      <c r="G169" s="4" t="s">
        <v>34</v>
      </c>
      <c r="H169" s="4" t="s">
        <v>387</v>
      </c>
      <c r="I169" s="4">
        <v>1098.5671</v>
      </c>
      <c r="J169" s="4" t="s">
        <v>13</v>
      </c>
      <c r="K169" s="4" t="s">
        <v>18</v>
      </c>
      <c r="L169">
        <v>0</v>
      </c>
      <c r="M169" s="9">
        <f t="shared" si="15"/>
        <v>1373.2805632</v>
      </c>
      <c r="N169">
        <v>0</v>
      </c>
      <c r="O169" s="9">
        <v>0</v>
      </c>
      <c r="P169" s="9">
        <f t="shared" si="16"/>
        <v>-1373.2805632</v>
      </c>
      <c r="Q169" s="16">
        <f t="shared" si="17"/>
        <v>1373.2805632</v>
      </c>
    </row>
    <row r="170" spans="1:17" x14ac:dyDescent="0.25">
      <c r="A170" s="3">
        <v>1775199</v>
      </c>
      <c r="B170" s="4" t="s">
        <v>390</v>
      </c>
      <c r="C170" s="12">
        <v>6.25</v>
      </c>
      <c r="D170" s="4" t="s">
        <v>13</v>
      </c>
      <c r="E170" s="4" t="s">
        <v>14</v>
      </c>
      <c r="F170" s="4" t="s">
        <v>33</v>
      </c>
      <c r="G170" s="4" t="s">
        <v>34</v>
      </c>
      <c r="H170" s="4" t="s">
        <v>387</v>
      </c>
      <c r="I170" s="4">
        <v>6.0709999999999997</v>
      </c>
      <c r="J170" s="4" t="s">
        <v>13</v>
      </c>
      <c r="K170" s="4" t="s">
        <v>18</v>
      </c>
      <c r="L170">
        <v>0</v>
      </c>
      <c r="M170" s="9">
        <f t="shared" si="15"/>
        <v>7.585375</v>
      </c>
      <c r="N170">
        <v>0</v>
      </c>
      <c r="O170" s="9">
        <v>0</v>
      </c>
      <c r="P170" s="9">
        <f t="shared" si="16"/>
        <v>-7.585375</v>
      </c>
      <c r="Q170" s="16">
        <f t="shared" si="17"/>
        <v>7.585375</v>
      </c>
    </row>
    <row r="171" spans="1:17" x14ac:dyDescent="0.25">
      <c r="A171" s="3">
        <v>1767120</v>
      </c>
      <c r="B171" s="4" t="s">
        <v>391</v>
      </c>
      <c r="C171" s="12">
        <v>378.53</v>
      </c>
      <c r="D171" s="4" t="s">
        <v>191</v>
      </c>
      <c r="E171" s="4" t="s">
        <v>14</v>
      </c>
      <c r="F171" s="4" t="s">
        <v>33</v>
      </c>
      <c r="G171" s="4" t="s">
        <v>34</v>
      </c>
      <c r="H171" s="4" t="s">
        <v>392</v>
      </c>
      <c r="I171" s="4">
        <v>18.375</v>
      </c>
      <c r="J171" s="4" t="s">
        <v>379</v>
      </c>
      <c r="K171" s="4" t="s">
        <v>18</v>
      </c>
      <c r="L171">
        <v>0</v>
      </c>
      <c r="M171" s="9">
        <f t="shared" si="15"/>
        <v>459.40671979999996</v>
      </c>
      <c r="N171">
        <v>0</v>
      </c>
      <c r="O171" s="9">
        <v>0</v>
      </c>
      <c r="P171" s="9">
        <f t="shared" si="16"/>
        <v>-459.40671979999996</v>
      </c>
      <c r="Q171" s="16">
        <f t="shared" si="17"/>
        <v>459.40671979999996</v>
      </c>
    </row>
    <row r="172" spans="1:17" x14ac:dyDescent="0.25">
      <c r="A172" s="3">
        <v>1780515</v>
      </c>
      <c r="B172" s="4" t="s">
        <v>393</v>
      </c>
      <c r="C172" s="12">
        <v>378.53</v>
      </c>
      <c r="D172" s="4" t="s">
        <v>191</v>
      </c>
      <c r="E172" s="4" t="s">
        <v>14</v>
      </c>
      <c r="F172" s="4" t="s">
        <v>33</v>
      </c>
      <c r="G172" s="4" t="s">
        <v>34</v>
      </c>
      <c r="H172" s="4" t="s">
        <v>392</v>
      </c>
      <c r="I172" s="4">
        <v>24.5</v>
      </c>
      <c r="J172" s="4" t="s">
        <v>379</v>
      </c>
      <c r="K172" s="4" t="s">
        <v>18</v>
      </c>
      <c r="L172">
        <v>0</v>
      </c>
      <c r="M172" s="9">
        <f t="shared" si="15"/>
        <v>459.40671979999996</v>
      </c>
      <c r="N172">
        <v>0</v>
      </c>
      <c r="O172" s="9">
        <v>0</v>
      </c>
      <c r="P172" s="9">
        <f t="shared" si="16"/>
        <v>-459.40671979999996</v>
      </c>
      <c r="Q172" s="16">
        <f t="shared" si="17"/>
        <v>459.40671979999996</v>
      </c>
    </row>
    <row r="173" spans="1:17" x14ac:dyDescent="0.25">
      <c r="A173" s="3">
        <v>1767720</v>
      </c>
      <c r="B173" s="4" t="s">
        <v>394</v>
      </c>
      <c r="C173" s="12">
        <v>454.23</v>
      </c>
      <c r="D173" s="4" t="s">
        <v>191</v>
      </c>
      <c r="E173" s="4" t="s">
        <v>14</v>
      </c>
      <c r="F173" s="4" t="s">
        <v>33</v>
      </c>
      <c r="G173" s="4" t="s">
        <v>34</v>
      </c>
      <c r="H173" s="4" t="s">
        <v>392</v>
      </c>
      <c r="I173" s="4">
        <v>22.05</v>
      </c>
      <c r="J173" s="4" t="s">
        <v>379</v>
      </c>
      <c r="K173" s="4" t="s">
        <v>18</v>
      </c>
      <c r="L173">
        <v>0</v>
      </c>
      <c r="M173" s="9">
        <f t="shared" si="15"/>
        <v>551.2807818</v>
      </c>
      <c r="N173">
        <v>0</v>
      </c>
      <c r="O173" s="9">
        <v>0</v>
      </c>
      <c r="P173" s="9">
        <f t="shared" si="16"/>
        <v>-551.2807818</v>
      </c>
      <c r="Q173" s="16">
        <f t="shared" si="17"/>
        <v>551.2807818</v>
      </c>
    </row>
    <row r="174" spans="1:17" x14ac:dyDescent="0.25">
      <c r="A174" s="3">
        <v>1780915</v>
      </c>
      <c r="B174" s="4" t="s">
        <v>395</v>
      </c>
      <c r="C174" s="12">
        <v>432.6</v>
      </c>
      <c r="D174" s="4" t="s">
        <v>191</v>
      </c>
      <c r="E174" s="4" t="s">
        <v>14</v>
      </c>
      <c r="F174" s="4" t="s">
        <v>33</v>
      </c>
      <c r="G174" s="4" t="s">
        <v>34</v>
      </c>
      <c r="H174" s="4" t="s">
        <v>392</v>
      </c>
      <c r="I174" s="4">
        <v>28</v>
      </c>
      <c r="J174" s="4" t="s">
        <v>379</v>
      </c>
      <c r="K174" s="4" t="s">
        <v>18</v>
      </c>
      <c r="L174">
        <v>0</v>
      </c>
      <c r="M174" s="9">
        <f t="shared" si="15"/>
        <v>525.02931599999999</v>
      </c>
      <c r="N174">
        <v>0</v>
      </c>
      <c r="O174" s="9">
        <v>0</v>
      </c>
      <c r="P174" s="9">
        <f t="shared" si="16"/>
        <v>-525.02931599999999</v>
      </c>
      <c r="Q174" s="16">
        <f t="shared" si="17"/>
        <v>525.02931599999999</v>
      </c>
    </row>
    <row r="175" spans="1:17" x14ac:dyDescent="0.25">
      <c r="A175" s="3">
        <v>1767620</v>
      </c>
      <c r="B175" s="4" t="s">
        <v>396</v>
      </c>
      <c r="C175" s="12">
        <v>405.56</v>
      </c>
      <c r="D175" s="4" t="s">
        <v>191</v>
      </c>
      <c r="E175" s="4" t="s">
        <v>14</v>
      </c>
      <c r="F175" s="4" t="s">
        <v>33</v>
      </c>
      <c r="G175" s="4" t="s">
        <v>34</v>
      </c>
      <c r="H175" s="4" t="s">
        <v>392</v>
      </c>
      <c r="I175" s="4">
        <v>19.6875</v>
      </c>
      <c r="J175" s="4" t="s">
        <v>379</v>
      </c>
      <c r="K175" s="4" t="s">
        <v>18</v>
      </c>
      <c r="L175">
        <v>0</v>
      </c>
      <c r="M175" s="9">
        <f t="shared" si="15"/>
        <v>492.21194959999997</v>
      </c>
      <c r="N175">
        <v>0</v>
      </c>
      <c r="O175" s="9">
        <v>0</v>
      </c>
      <c r="P175" s="9">
        <f t="shared" si="16"/>
        <v>-492.21194959999997</v>
      </c>
      <c r="Q175" s="16">
        <f t="shared" si="17"/>
        <v>492.21194959999997</v>
      </c>
    </row>
    <row r="176" spans="1:17" x14ac:dyDescent="0.25">
      <c r="A176" s="3">
        <v>1770715</v>
      </c>
      <c r="B176" s="4" t="s">
        <v>397</v>
      </c>
      <c r="C176" s="12">
        <v>811.13</v>
      </c>
      <c r="D176" s="4" t="s">
        <v>191</v>
      </c>
      <c r="E176" s="4" t="s">
        <v>14</v>
      </c>
      <c r="F176" s="4" t="s">
        <v>33</v>
      </c>
      <c r="G176" s="4" t="s">
        <v>34</v>
      </c>
      <c r="H176" s="4" t="s">
        <v>392</v>
      </c>
      <c r="I176" s="4">
        <v>52.5</v>
      </c>
      <c r="J176" s="4" t="s">
        <v>379</v>
      </c>
      <c r="K176" s="4" t="s">
        <v>18</v>
      </c>
      <c r="L176">
        <v>0</v>
      </c>
      <c r="M176" s="9">
        <f t="shared" si="15"/>
        <v>984.43603580000001</v>
      </c>
      <c r="N176">
        <v>0</v>
      </c>
      <c r="O176" s="9">
        <v>0</v>
      </c>
      <c r="P176" s="9">
        <f t="shared" si="16"/>
        <v>-984.43603580000001</v>
      </c>
      <c r="Q176" s="16">
        <f t="shared" si="17"/>
        <v>984.43603580000001</v>
      </c>
    </row>
    <row r="177" spans="1:17" x14ac:dyDescent="0.25">
      <c r="A177" s="3">
        <v>1774415</v>
      </c>
      <c r="B177" s="4" t="s">
        <v>398</v>
      </c>
      <c r="C177" s="12">
        <v>324.45</v>
      </c>
      <c r="D177" s="4" t="s">
        <v>191</v>
      </c>
      <c r="E177" s="4" t="s">
        <v>14</v>
      </c>
      <c r="F177" s="4" t="s">
        <v>33</v>
      </c>
      <c r="G177" s="4" t="s">
        <v>34</v>
      </c>
      <c r="H177" s="4" t="s">
        <v>392</v>
      </c>
      <c r="I177" s="4">
        <v>21</v>
      </c>
      <c r="J177" s="4" t="s">
        <v>379</v>
      </c>
      <c r="K177" s="4" t="s">
        <v>18</v>
      </c>
      <c r="L177">
        <v>0</v>
      </c>
      <c r="M177" s="9">
        <f t="shared" si="15"/>
        <v>393.77198699999997</v>
      </c>
      <c r="N177">
        <v>0</v>
      </c>
      <c r="O177" s="9">
        <v>0</v>
      </c>
      <c r="P177" s="9">
        <f t="shared" si="16"/>
        <v>-393.77198699999997</v>
      </c>
      <c r="Q177" s="16">
        <f t="shared" si="17"/>
        <v>393.77198699999997</v>
      </c>
    </row>
    <row r="178" spans="1:17" x14ac:dyDescent="0.25">
      <c r="A178" s="3">
        <v>1764950</v>
      </c>
      <c r="B178" s="4" t="s">
        <v>399</v>
      </c>
      <c r="C178" s="12">
        <v>378.53</v>
      </c>
      <c r="D178" s="4" t="s">
        <v>191</v>
      </c>
      <c r="E178" s="4" t="s">
        <v>14</v>
      </c>
      <c r="F178" s="4" t="s">
        <v>33</v>
      </c>
      <c r="G178" s="4" t="s">
        <v>34</v>
      </c>
      <c r="H178" s="4" t="s">
        <v>392</v>
      </c>
      <c r="I178" s="4">
        <v>7.35</v>
      </c>
      <c r="J178" s="4" t="s">
        <v>379</v>
      </c>
      <c r="K178" s="4" t="s">
        <v>18</v>
      </c>
      <c r="L178">
        <v>0</v>
      </c>
      <c r="M178" s="9">
        <f t="shared" si="15"/>
        <v>459.40671979999996</v>
      </c>
      <c r="N178">
        <v>0</v>
      </c>
      <c r="O178" s="9">
        <v>0</v>
      </c>
      <c r="P178" s="9">
        <f t="shared" si="16"/>
        <v>-459.40671979999996</v>
      </c>
      <c r="Q178" s="16">
        <f t="shared" si="17"/>
        <v>459.40671979999996</v>
      </c>
    </row>
    <row r="179" spans="1:17" x14ac:dyDescent="0.25">
      <c r="A179" s="3">
        <v>1765750</v>
      </c>
      <c r="B179" s="4" t="s">
        <v>400</v>
      </c>
      <c r="C179" s="12">
        <v>465.05</v>
      </c>
      <c r="D179" s="4" t="s">
        <v>191</v>
      </c>
      <c r="E179" s="4" t="s">
        <v>14</v>
      </c>
      <c r="F179" s="4" t="s">
        <v>33</v>
      </c>
      <c r="G179" s="4" t="s">
        <v>34</v>
      </c>
      <c r="H179" s="4" t="s">
        <v>392</v>
      </c>
      <c r="I179" s="4">
        <v>9.0299999999999994</v>
      </c>
      <c r="J179" s="4" t="s">
        <v>379</v>
      </c>
      <c r="K179" s="4" t="s">
        <v>18</v>
      </c>
      <c r="L179">
        <v>0</v>
      </c>
      <c r="M179" s="9">
        <f t="shared" si="15"/>
        <v>564.41258300000004</v>
      </c>
      <c r="N179">
        <v>0</v>
      </c>
      <c r="O179" s="9">
        <v>0</v>
      </c>
      <c r="P179" s="9">
        <f t="shared" si="16"/>
        <v>-564.41258300000004</v>
      </c>
      <c r="Q179" s="16">
        <f t="shared" si="17"/>
        <v>564.41258300000004</v>
      </c>
    </row>
    <row r="180" spans="1:17" x14ac:dyDescent="0.25">
      <c r="A180" s="3">
        <v>1765925</v>
      </c>
      <c r="B180" s="4" t="s">
        <v>401</v>
      </c>
      <c r="C180" s="12">
        <v>519.12</v>
      </c>
      <c r="D180" s="4" t="s">
        <v>191</v>
      </c>
      <c r="E180" s="4" t="s">
        <v>14</v>
      </c>
      <c r="F180" s="4" t="s">
        <v>33</v>
      </c>
      <c r="G180" s="4" t="s">
        <v>34</v>
      </c>
      <c r="H180" s="4" t="s">
        <v>392</v>
      </c>
      <c r="I180" s="4">
        <v>20.16</v>
      </c>
      <c r="J180" s="4" t="s">
        <v>379</v>
      </c>
      <c r="K180" s="4" t="s">
        <v>18</v>
      </c>
      <c r="L180">
        <v>0</v>
      </c>
      <c r="M180" s="9">
        <f t="shared" si="15"/>
        <v>630.03517920000002</v>
      </c>
      <c r="N180">
        <v>0</v>
      </c>
      <c r="O180" s="9">
        <v>0</v>
      </c>
      <c r="P180" s="9">
        <f t="shared" si="16"/>
        <v>-630.03517920000002</v>
      </c>
      <c r="Q180" s="16">
        <f t="shared" si="17"/>
        <v>630.03517920000002</v>
      </c>
    </row>
    <row r="181" spans="1:17" x14ac:dyDescent="0.25">
      <c r="A181" s="3">
        <v>1768830</v>
      </c>
      <c r="B181" s="4" t="s">
        <v>402</v>
      </c>
      <c r="C181" s="12">
        <v>236</v>
      </c>
      <c r="D181" s="4" t="s">
        <v>191</v>
      </c>
      <c r="E181" s="4" t="s">
        <v>14</v>
      </c>
      <c r="F181" s="4" t="s">
        <v>33</v>
      </c>
      <c r="G181" s="4" t="s">
        <v>34</v>
      </c>
      <c r="H181" s="4" t="s">
        <v>180</v>
      </c>
      <c r="I181" s="4">
        <v>244.65</v>
      </c>
      <c r="J181" s="4" t="s">
        <v>383</v>
      </c>
      <c r="K181" s="4" t="s">
        <v>18</v>
      </c>
      <c r="L181">
        <v>0</v>
      </c>
      <c r="M181" s="9">
        <f t="shared" si="15"/>
        <v>286.42376000000002</v>
      </c>
      <c r="N181">
        <v>0</v>
      </c>
      <c r="O181" s="9">
        <v>0</v>
      </c>
      <c r="P181" s="9">
        <f t="shared" si="16"/>
        <v>-286.42376000000002</v>
      </c>
      <c r="Q181" s="16">
        <f t="shared" si="17"/>
        <v>286.42376000000002</v>
      </c>
    </row>
    <row r="182" spans="1:17" x14ac:dyDescent="0.25">
      <c r="A182" s="3" t="s">
        <v>403</v>
      </c>
      <c r="B182" s="4" t="s">
        <v>404</v>
      </c>
      <c r="C182" s="12">
        <f>I182*3%+I182</f>
        <v>8.7035</v>
      </c>
      <c r="D182" s="4" t="s">
        <v>124</v>
      </c>
      <c r="E182" s="4" t="s">
        <v>14</v>
      </c>
      <c r="F182" s="4" t="s">
        <v>15</v>
      </c>
      <c r="G182" s="4" t="s">
        <v>16</v>
      </c>
      <c r="H182" s="4" t="s">
        <v>17</v>
      </c>
      <c r="I182" s="4">
        <v>8.4499999999999993</v>
      </c>
      <c r="J182" s="4" t="s">
        <v>124</v>
      </c>
      <c r="K182" s="4" t="s">
        <v>18</v>
      </c>
      <c r="L182" t="s">
        <v>403</v>
      </c>
      <c r="M182" s="9">
        <f t="shared" si="15"/>
        <v>10.563089809999999</v>
      </c>
      <c r="N182">
        <v>0</v>
      </c>
      <c r="O182" s="9">
        <v>0</v>
      </c>
      <c r="P182" s="9">
        <f t="shared" si="16"/>
        <v>-10.563089809999999</v>
      </c>
      <c r="Q182" s="16">
        <f t="shared" si="17"/>
        <v>10.563089809999999</v>
      </c>
    </row>
    <row r="183" spans="1:17" x14ac:dyDescent="0.25">
      <c r="A183" s="3" t="s">
        <v>405</v>
      </c>
      <c r="B183" s="4" t="s">
        <v>406</v>
      </c>
      <c r="C183" s="12">
        <f t="shared" ref="C183:C190" si="20">I183*3%+I183</f>
        <v>308.22750000000002</v>
      </c>
      <c r="D183" s="4" t="s">
        <v>191</v>
      </c>
      <c r="E183" s="4" t="s">
        <v>14</v>
      </c>
      <c r="F183" s="4" t="s">
        <v>131</v>
      </c>
      <c r="G183" s="4" t="s">
        <v>132</v>
      </c>
      <c r="H183" s="4" t="s">
        <v>407</v>
      </c>
      <c r="I183" s="4">
        <v>299.25</v>
      </c>
      <c r="J183" s="4" t="s">
        <v>191</v>
      </c>
      <c r="K183" s="4" t="s">
        <v>18</v>
      </c>
      <c r="L183" t="s">
        <v>405</v>
      </c>
      <c r="M183" s="9">
        <f t="shared" si="15"/>
        <v>374.08338765000002</v>
      </c>
      <c r="N183" t="s">
        <v>405</v>
      </c>
      <c r="O183" s="9">
        <v>374.08569999999997</v>
      </c>
      <c r="P183" s="9">
        <f t="shared" si="16"/>
        <v>2.3123499999542219E-3</v>
      </c>
      <c r="Q183" s="16">
        <f t="shared" si="17"/>
        <v>374.08338765000002</v>
      </c>
    </row>
    <row r="184" spans="1:17" x14ac:dyDescent="0.25">
      <c r="A184" s="3" t="s">
        <v>408</v>
      </c>
      <c r="B184" s="4" t="s">
        <v>409</v>
      </c>
      <c r="C184" s="12">
        <f t="shared" si="20"/>
        <v>42.034300000000002</v>
      </c>
      <c r="D184" s="4" t="s">
        <v>32</v>
      </c>
      <c r="E184" s="4" t="s">
        <v>14</v>
      </c>
      <c r="F184" s="4" t="s">
        <v>410</v>
      </c>
      <c r="G184" s="4" t="s">
        <v>411</v>
      </c>
      <c r="H184" s="4" t="s">
        <v>412</v>
      </c>
      <c r="I184" s="4">
        <v>40.81</v>
      </c>
      <c r="J184" s="4" t="s">
        <v>32</v>
      </c>
      <c r="K184" s="4" t="s">
        <v>18</v>
      </c>
      <c r="L184" t="s">
        <v>408</v>
      </c>
      <c r="M184" s="9">
        <f t="shared" si="15"/>
        <v>51.015348537999998</v>
      </c>
      <c r="N184">
        <v>0</v>
      </c>
      <c r="O184" s="9">
        <v>0</v>
      </c>
      <c r="P184" s="9">
        <f t="shared" si="16"/>
        <v>-51.015348537999998</v>
      </c>
      <c r="Q184" s="16">
        <f t="shared" si="17"/>
        <v>51.015348537999998</v>
      </c>
    </row>
    <row r="185" spans="1:17" x14ac:dyDescent="0.25">
      <c r="A185" s="3" t="s">
        <v>413</v>
      </c>
      <c r="B185" s="4" t="s">
        <v>414</v>
      </c>
      <c r="C185" s="12">
        <f t="shared" si="20"/>
        <v>7.1070000000000002</v>
      </c>
      <c r="D185" s="4" t="s">
        <v>111</v>
      </c>
      <c r="E185" s="4" t="s">
        <v>14</v>
      </c>
      <c r="F185" s="4" t="s">
        <v>33</v>
      </c>
      <c r="G185" s="4" t="s">
        <v>34</v>
      </c>
      <c r="H185" s="4" t="s">
        <v>265</v>
      </c>
      <c r="I185" s="4">
        <v>6.9</v>
      </c>
      <c r="J185" s="4" t="s">
        <v>111</v>
      </c>
      <c r="K185" s="4" t="s">
        <v>18</v>
      </c>
      <c r="L185" t="s">
        <v>413</v>
      </c>
      <c r="M185" s="9">
        <f t="shared" si="15"/>
        <v>8.6254816200000004</v>
      </c>
      <c r="N185">
        <v>0</v>
      </c>
      <c r="O185" s="9">
        <v>0</v>
      </c>
      <c r="P185" s="9">
        <f t="shared" si="16"/>
        <v>-8.6254816200000004</v>
      </c>
      <c r="Q185" s="16">
        <f t="shared" si="17"/>
        <v>8.6254816200000004</v>
      </c>
    </row>
    <row r="186" spans="1:17" x14ac:dyDescent="0.25">
      <c r="A186" s="3" t="s">
        <v>415</v>
      </c>
      <c r="B186" s="4" t="s">
        <v>416</v>
      </c>
      <c r="C186" s="12">
        <f t="shared" si="20"/>
        <v>27.861499999999999</v>
      </c>
      <c r="D186" s="4" t="s">
        <v>32</v>
      </c>
      <c r="E186" s="4" t="s">
        <v>14</v>
      </c>
      <c r="F186" s="4" t="s">
        <v>33</v>
      </c>
      <c r="G186" s="4" t="s">
        <v>34</v>
      </c>
      <c r="H186" s="4" t="s">
        <v>265</v>
      </c>
      <c r="I186" s="4">
        <v>27.05</v>
      </c>
      <c r="J186" s="4" t="s">
        <v>32</v>
      </c>
      <c r="K186" s="4" t="s">
        <v>18</v>
      </c>
      <c r="L186" t="s">
        <v>415</v>
      </c>
      <c r="M186" s="9">
        <f t="shared" si="15"/>
        <v>33.814388090000001</v>
      </c>
      <c r="N186">
        <v>0</v>
      </c>
      <c r="O186" s="9">
        <v>0</v>
      </c>
      <c r="P186" s="9">
        <f t="shared" si="16"/>
        <v>-33.814388090000001</v>
      </c>
      <c r="Q186" s="16">
        <f t="shared" si="17"/>
        <v>33.814388090000001</v>
      </c>
    </row>
    <row r="187" spans="1:17" x14ac:dyDescent="0.25">
      <c r="A187" s="3" t="s">
        <v>417</v>
      </c>
      <c r="B187" s="4" t="s">
        <v>418</v>
      </c>
      <c r="C187" s="12">
        <f t="shared" si="20"/>
        <v>81.112499999999997</v>
      </c>
      <c r="D187" s="4" t="s">
        <v>242</v>
      </c>
      <c r="E187" s="4" t="s">
        <v>14</v>
      </c>
      <c r="F187" s="4" t="s">
        <v>33</v>
      </c>
      <c r="G187" s="4" t="s">
        <v>34</v>
      </c>
      <c r="H187" s="4" t="s">
        <v>231</v>
      </c>
      <c r="I187" s="4">
        <v>78.75</v>
      </c>
      <c r="J187" s="4" t="s">
        <v>242</v>
      </c>
      <c r="K187" s="4" t="s">
        <v>18</v>
      </c>
      <c r="L187" t="s">
        <v>417</v>
      </c>
      <c r="M187" s="9">
        <f t="shared" si="15"/>
        <v>98.442996749999992</v>
      </c>
      <c r="N187">
        <v>0</v>
      </c>
      <c r="O187" s="9">
        <v>0</v>
      </c>
      <c r="P187" s="9">
        <f t="shared" si="16"/>
        <v>-98.442996749999992</v>
      </c>
      <c r="Q187" s="16">
        <f t="shared" si="17"/>
        <v>98.442996749999992</v>
      </c>
    </row>
    <row r="188" spans="1:17" x14ac:dyDescent="0.25">
      <c r="A188" s="3" t="s">
        <v>419</v>
      </c>
      <c r="B188" s="4" t="s">
        <v>420</v>
      </c>
      <c r="C188" s="12">
        <f t="shared" si="20"/>
        <v>21.63</v>
      </c>
      <c r="D188" s="4" t="s">
        <v>13</v>
      </c>
      <c r="E188" s="4" t="s">
        <v>14</v>
      </c>
      <c r="F188" s="4" t="s">
        <v>33</v>
      </c>
      <c r="G188" s="4" t="s">
        <v>34</v>
      </c>
      <c r="H188" s="4" t="s">
        <v>231</v>
      </c>
      <c r="I188" s="4">
        <v>21</v>
      </c>
      <c r="J188" s="4" t="s">
        <v>13</v>
      </c>
      <c r="K188" s="4" t="s">
        <v>18</v>
      </c>
      <c r="L188" t="s">
        <v>419</v>
      </c>
      <c r="M188" s="9">
        <f t="shared" si="15"/>
        <v>26.251465799999998</v>
      </c>
      <c r="N188">
        <v>0</v>
      </c>
      <c r="O188" s="9">
        <v>0</v>
      </c>
      <c r="P188" s="9">
        <f t="shared" si="16"/>
        <v>-26.251465799999998</v>
      </c>
      <c r="Q188" s="16">
        <f t="shared" si="17"/>
        <v>26.251465799999998</v>
      </c>
    </row>
    <row r="189" spans="1:17" x14ac:dyDescent="0.25">
      <c r="A189" s="3" t="s">
        <v>421</v>
      </c>
      <c r="B189" s="4" t="s">
        <v>422</v>
      </c>
      <c r="C189" s="12">
        <f t="shared" si="20"/>
        <v>59.74</v>
      </c>
      <c r="D189" s="4" t="s">
        <v>118</v>
      </c>
      <c r="E189" s="4" t="s">
        <v>14</v>
      </c>
      <c r="F189" s="4" t="s">
        <v>131</v>
      </c>
      <c r="G189" s="4" t="s">
        <v>132</v>
      </c>
      <c r="H189" s="4" t="s">
        <v>423</v>
      </c>
      <c r="I189" s="4">
        <v>58</v>
      </c>
      <c r="J189" s="4" t="s">
        <v>118</v>
      </c>
      <c r="K189" s="4" t="s">
        <v>18</v>
      </c>
      <c r="L189" t="s">
        <v>421</v>
      </c>
      <c r="M189" s="9">
        <f t="shared" si="15"/>
        <v>72.504048400000002</v>
      </c>
      <c r="N189" t="s">
        <v>421</v>
      </c>
      <c r="O189" s="9">
        <v>46.762</v>
      </c>
      <c r="P189" s="9">
        <f t="shared" si="16"/>
        <v>-25.742048400000002</v>
      </c>
      <c r="Q189" s="16">
        <f t="shared" si="17"/>
        <v>72.504048400000002</v>
      </c>
    </row>
    <row r="190" spans="1:17" x14ac:dyDescent="0.25">
      <c r="A190" s="3" t="s">
        <v>424</v>
      </c>
      <c r="B190" s="4" t="s">
        <v>425</v>
      </c>
      <c r="C190" s="12">
        <f t="shared" si="20"/>
        <v>193.64</v>
      </c>
      <c r="D190" s="4" t="s">
        <v>118</v>
      </c>
      <c r="E190" s="4" t="s">
        <v>14</v>
      </c>
      <c r="F190" s="4" t="s">
        <v>131</v>
      </c>
      <c r="G190" s="4" t="s">
        <v>132</v>
      </c>
      <c r="H190" s="4" t="s">
        <v>423</v>
      </c>
      <c r="I190" s="4">
        <v>188</v>
      </c>
      <c r="J190" s="4" t="s">
        <v>118</v>
      </c>
      <c r="K190" s="4" t="s">
        <v>18</v>
      </c>
      <c r="L190" t="s">
        <v>424</v>
      </c>
      <c r="M190" s="9">
        <f t="shared" si="15"/>
        <v>235.01312239999999</v>
      </c>
      <c r="N190">
        <v>0</v>
      </c>
      <c r="O190" s="9">
        <v>0</v>
      </c>
      <c r="P190" s="9">
        <f t="shared" si="16"/>
        <v>-235.01312239999999</v>
      </c>
      <c r="Q190" s="16">
        <f t="shared" si="17"/>
        <v>235.01312239999999</v>
      </c>
    </row>
    <row r="191" spans="1:17" x14ac:dyDescent="0.25">
      <c r="A191" s="3" t="s">
        <v>426</v>
      </c>
      <c r="B191" s="4" t="s">
        <v>427</v>
      </c>
      <c r="C191" s="12">
        <v>450</v>
      </c>
      <c r="D191" s="4" t="s">
        <v>13</v>
      </c>
      <c r="E191" s="4" t="s">
        <v>14</v>
      </c>
      <c r="F191" s="4" t="s">
        <v>33</v>
      </c>
      <c r="G191" s="4" t="s">
        <v>34</v>
      </c>
      <c r="H191" s="4" t="s">
        <v>115</v>
      </c>
      <c r="I191" s="4">
        <v>420</v>
      </c>
      <c r="J191" s="4" t="s">
        <v>13</v>
      </c>
      <c r="K191" s="4" t="s">
        <v>18</v>
      </c>
      <c r="L191" t="s">
        <v>426</v>
      </c>
      <c r="M191" s="9">
        <f t="shared" si="15"/>
        <v>546.14699999999993</v>
      </c>
      <c r="N191">
        <v>0</v>
      </c>
      <c r="O191" s="9">
        <v>0</v>
      </c>
      <c r="P191" s="9">
        <f t="shared" si="16"/>
        <v>-546.14699999999993</v>
      </c>
      <c r="Q191" s="16">
        <f t="shared" si="17"/>
        <v>546.14699999999993</v>
      </c>
    </row>
    <row r="192" spans="1:17" x14ac:dyDescent="0.25">
      <c r="A192" s="3" t="s">
        <v>428</v>
      </c>
      <c r="B192" s="4" t="s">
        <v>429</v>
      </c>
      <c r="C192" s="12">
        <v>15</v>
      </c>
      <c r="D192" s="4" t="s">
        <v>32</v>
      </c>
      <c r="E192" s="4" t="s">
        <v>14</v>
      </c>
      <c r="F192" s="4" t="s">
        <v>33</v>
      </c>
      <c r="G192" s="4" t="s">
        <v>34</v>
      </c>
      <c r="H192" s="4" t="s">
        <v>430</v>
      </c>
      <c r="I192" s="4">
        <v>4.3620000000000001</v>
      </c>
      <c r="J192" s="4" t="s">
        <v>331</v>
      </c>
      <c r="K192" s="4" t="s">
        <v>18</v>
      </c>
      <c r="L192">
        <v>0</v>
      </c>
      <c r="M192" s="9">
        <f t="shared" si="15"/>
        <v>18.204899999999999</v>
      </c>
      <c r="N192">
        <v>0</v>
      </c>
      <c r="O192" s="9">
        <v>0</v>
      </c>
      <c r="P192" s="9">
        <f t="shared" si="16"/>
        <v>-18.204899999999999</v>
      </c>
      <c r="Q192" s="16">
        <f t="shared" si="17"/>
        <v>18.204899999999999</v>
      </c>
    </row>
    <row r="193" spans="1:17" x14ac:dyDescent="0.25">
      <c r="A193" s="3" t="s">
        <v>431</v>
      </c>
      <c r="B193" s="4" t="s">
        <v>432</v>
      </c>
      <c r="C193" s="12">
        <f>I193*3%+I193</f>
        <v>84.748400000000004</v>
      </c>
      <c r="D193" s="4" t="s">
        <v>13</v>
      </c>
      <c r="E193" s="4" t="s">
        <v>14</v>
      </c>
      <c r="F193" s="4" t="s">
        <v>44</v>
      </c>
      <c r="G193" s="4" t="s">
        <v>45</v>
      </c>
      <c r="H193" s="4" t="s">
        <v>23</v>
      </c>
      <c r="I193" s="4">
        <v>82.28</v>
      </c>
      <c r="J193" s="4" t="s">
        <v>13</v>
      </c>
      <c r="K193" s="4" t="s">
        <v>18</v>
      </c>
      <c r="L193" t="s">
        <v>431</v>
      </c>
      <c r="M193" s="9">
        <f t="shared" si="15"/>
        <v>102.855743144</v>
      </c>
      <c r="N193">
        <v>0</v>
      </c>
      <c r="O193" s="9">
        <v>0</v>
      </c>
      <c r="P193" s="9">
        <f t="shared" si="16"/>
        <v>-102.855743144</v>
      </c>
      <c r="Q193" s="16">
        <f t="shared" si="17"/>
        <v>102.855743144</v>
      </c>
    </row>
    <row r="194" spans="1:17" x14ac:dyDescent="0.25">
      <c r="A194" s="3" t="s">
        <v>433</v>
      </c>
      <c r="B194" s="4" t="s">
        <v>434</v>
      </c>
      <c r="C194" s="12">
        <f t="shared" ref="C194:C210" si="21">I194*3%+I194</f>
        <v>57.134099999999997</v>
      </c>
      <c r="D194" s="4" t="s">
        <v>118</v>
      </c>
      <c r="E194" s="4" t="s">
        <v>14</v>
      </c>
      <c r="F194" s="4" t="s">
        <v>131</v>
      </c>
      <c r="G194" s="4" t="s">
        <v>132</v>
      </c>
      <c r="H194" s="4" t="s">
        <v>435</v>
      </c>
      <c r="I194" s="4">
        <v>55.47</v>
      </c>
      <c r="J194" s="4" t="s">
        <v>118</v>
      </c>
      <c r="K194" s="4" t="s">
        <v>18</v>
      </c>
      <c r="L194" t="s">
        <v>433</v>
      </c>
      <c r="M194" s="9">
        <f t="shared" si="15"/>
        <v>69.341371805999998</v>
      </c>
      <c r="N194" t="s">
        <v>433</v>
      </c>
      <c r="O194" s="9">
        <v>69.339600000000004</v>
      </c>
      <c r="P194" s="9">
        <f t="shared" si="16"/>
        <v>-1.7718059999936031E-3</v>
      </c>
      <c r="Q194" s="16">
        <f t="shared" si="17"/>
        <v>69.341371805999998</v>
      </c>
    </row>
    <row r="195" spans="1:17" x14ac:dyDescent="0.25">
      <c r="A195" s="3" t="s">
        <v>436</v>
      </c>
      <c r="B195" s="4" t="s">
        <v>437</v>
      </c>
      <c r="C195" s="12">
        <f t="shared" si="21"/>
        <v>232.52250000000001</v>
      </c>
      <c r="D195" s="4" t="s">
        <v>111</v>
      </c>
      <c r="E195" s="4" t="s">
        <v>14</v>
      </c>
      <c r="F195" s="4" t="s">
        <v>131</v>
      </c>
      <c r="G195" s="4" t="s">
        <v>132</v>
      </c>
      <c r="H195" s="4" t="s">
        <v>435</v>
      </c>
      <c r="I195" s="4">
        <v>225.75</v>
      </c>
      <c r="J195" s="4" t="s">
        <v>111</v>
      </c>
      <c r="K195" s="4" t="s">
        <v>18</v>
      </c>
      <c r="L195" t="s">
        <v>436</v>
      </c>
      <c r="M195" s="9">
        <f t="shared" ref="M195:M258" si="22">C195*1.21366</f>
        <v>282.20325735</v>
      </c>
      <c r="N195" t="s">
        <v>436</v>
      </c>
      <c r="O195" s="9">
        <v>282.19940000000003</v>
      </c>
      <c r="P195" s="9">
        <f t="shared" ref="P195:P258" si="23">O195-M195</f>
        <v>-3.8573499999756677E-3</v>
      </c>
      <c r="Q195" s="16">
        <f t="shared" ref="Q195:Q215" si="24">C195*1.21366</f>
        <v>282.20325735</v>
      </c>
    </row>
    <row r="196" spans="1:17" x14ac:dyDescent="0.25">
      <c r="A196" s="3" t="s">
        <v>438</v>
      </c>
      <c r="B196" s="4" t="s">
        <v>439</v>
      </c>
      <c r="C196" s="12">
        <f t="shared" si="21"/>
        <v>45.711400000000005</v>
      </c>
      <c r="D196" s="4" t="s">
        <v>118</v>
      </c>
      <c r="E196" s="4" t="s">
        <v>14</v>
      </c>
      <c r="F196" s="4" t="s">
        <v>131</v>
      </c>
      <c r="G196" s="4" t="s">
        <v>132</v>
      </c>
      <c r="H196" s="4" t="s">
        <v>435</v>
      </c>
      <c r="I196" s="4">
        <v>44.38</v>
      </c>
      <c r="J196" s="4" t="s">
        <v>118</v>
      </c>
      <c r="K196" s="4" t="s">
        <v>18</v>
      </c>
      <c r="L196" t="s">
        <v>438</v>
      </c>
      <c r="M196" s="9">
        <f t="shared" si="22"/>
        <v>55.478097724000001</v>
      </c>
      <c r="N196" t="s">
        <v>438</v>
      </c>
      <c r="O196" s="9">
        <v>55.4758</v>
      </c>
      <c r="P196" s="9">
        <f t="shared" si="23"/>
        <v>-2.2977240000017218E-3</v>
      </c>
      <c r="Q196" s="16">
        <f t="shared" si="24"/>
        <v>55.478097724000001</v>
      </c>
    </row>
    <row r="197" spans="1:17" x14ac:dyDescent="0.25">
      <c r="A197" s="3" t="s">
        <v>440</v>
      </c>
      <c r="B197" s="4" t="s">
        <v>441</v>
      </c>
      <c r="C197" s="12">
        <f t="shared" si="21"/>
        <v>38.933999999999997</v>
      </c>
      <c r="D197" s="4" t="s">
        <v>118</v>
      </c>
      <c r="E197" s="4" t="s">
        <v>14</v>
      </c>
      <c r="F197" s="4" t="s">
        <v>131</v>
      </c>
      <c r="G197" s="4" t="s">
        <v>132</v>
      </c>
      <c r="H197" s="4" t="s">
        <v>435</v>
      </c>
      <c r="I197" s="4">
        <v>37.799999999999997</v>
      </c>
      <c r="J197" s="4" t="s">
        <v>118</v>
      </c>
      <c r="K197" s="4" t="s">
        <v>18</v>
      </c>
      <c r="L197" t="s">
        <v>440</v>
      </c>
      <c r="M197" s="9">
        <f t="shared" si="22"/>
        <v>47.252638439999998</v>
      </c>
      <c r="N197" t="s">
        <v>440</v>
      </c>
      <c r="O197" s="9">
        <v>47.256399999999999</v>
      </c>
      <c r="P197" s="9">
        <f t="shared" si="23"/>
        <v>3.7615600000009408E-3</v>
      </c>
      <c r="Q197" s="16">
        <f t="shared" si="24"/>
        <v>47.252638439999998</v>
      </c>
    </row>
    <row r="198" spans="1:17" x14ac:dyDescent="0.25">
      <c r="A198" s="3" t="s">
        <v>442</v>
      </c>
      <c r="B198" s="4" t="s">
        <v>443</v>
      </c>
      <c r="C198" s="12">
        <f t="shared" si="21"/>
        <v>43.26</v>
      </c>
      <c r="D198" s="4" t="s">
        <v>118</v>
      </c>
      <c r="E198" s="4" t="s">
        <v>14</v>
      </c>
      <c r="F198" s="4" t="s">
        <v>119</v>
      </c>
      <c r="G198" s="4" t="s">
        <v>120</v>
      </c>
      <c r="H198" s="4" t="s">
        <v>23</v>
      </c>
      <c r="I198" s="4">
        <v>42</v>
      </c>
      <c r="J198" s="4" t="s">
        <v>118</v>
      </c>
      <c r="K198" s="4" t="s">
        <v>18</v>
      </c>
      <c r="L198" t="s">
        <v>442</v>
      </c>
      <c r="M198" s="9">
        <f t="shared" si="22"/>
        <v>52.502931599999997</v>
      </c>
      <c r="N198">
        <v>0</v>
      </c>
      <c r="O198" s="9">
        <v>0</v>
      </c>
      <c r="P198" s="9">
        <f t="shared" si="23"/>
        <v>-52.502931599999997</v>
      </c>
      <c r="Q198" s="16">
        <f t="shared" si="24"/>
        <v>52.502931599999997</v>
      </c>
    </row>
    <row r="199" spans="1:17" x14ac:dyDescent="0.25">
      <c r="A199" s="3" t="s">
        <v>444</v>
      </c>
      <c r="B199" s="4" t="s">
        <v>445</v>
      </c>
      <c r="C199" s="12">
        <f t="shared" si="21"/>
        <v>472.20349999999996</v>
      </c>
      <c r="D199" s="4" t="s">
        <v>13</v>
      </c>
      <c r="E199" s="4" t="s">
        <v>14</v>
      </c>
      <c r="F199" s="4" t="s">
        <v>33</v>
      </c>
      <c r="G199" s="4" t="s">
        <v>34</v>
      </c>
      <c r="H199" s="4" t="s">
        <v>231</v>
      </c>
      <c r="I199" s="4">
        <v>458.45</v>
      </c>
      <c r="J199" s="4" t="s">
        <v>13</v>
      </c>
      <c r="K199" s="4" t="s">
        <v>18</v>
      </c>
      <c r="L199" t="s">
        <v>444</v>
      </c>
      <c r="M199" s="9">
        <f t="shared" si="22"/>
        <v>573.09449980999989</v>
      </c>
      <c r="N199">
        <v>0</v>
      </c>
      <c r="O199" s="9">
        <v>0</v>
      </c>
      <c r="P199" s="9">
        <f t="shared" si="23"/>
        <v>-573.09449980999989</v>
      </c>
      <c r="Q199" s="16">
        <f t="shared" si="24"/>
        <v>573.09449980999989</v>
      </c>
    </row>
    <row r="200" spans="1:17" x14ac:dyDescent="0.25">
      <c r="A200" s="3" t="s">
        <v>446</v>
      </c>
      <c r="B200" s="4" t="s">
        <v>447</v>
      </c>
      <c r="C200" s="12">
        <f t="shared" si="21"/>
        <v>0</v>
      </c>
      <c r="D200" s="4" t="s">
        <v>13</v>
      </c>
      <c r="E200" s="4" t="s">
        <v>23</v>
      </c>
      <c r="F200" s="4" t="s">
        <v>49</v>
      </c>
      <c r="G200" s="4" t="s">
        <v>50</v>
      </c>
      <c r="H200" s="4" t="s">
        <v>50</v>
      </c>
      <c r="I200" s="4"/>
      <c r="J200" s="4" t="s">
        <v>13</v>
      </c>
      <c r="K200" s="4" t="s">
        <v>18</v>
      </c>
      <c r="L200">
        <v>0</v>
      </c>
      <c r="M200" s="9">
        <f t="shared" si="22"/>
        <v>0</v>
      </c>
      <c r="N200">
        <v>0</v>
      </c>
      <c r="O200" s="9">
        <v>0</v>
      </c>
      <c r="P200" s="9">
        <f t="shared" si="23"/>
        <v>0</v>
      </c>
      <c r="Q200" s="16">
        <f t="shared" si="24"/>
        <v>0</v>
      </c>
    </row>
    <row r="201" spans="1:17" x14ac:dyDescent="0.25">
      <c r="A201" s="3" t="s">
        <v>448</v>
      </c>
      <c r="B201" s="4" t="s">
        <v>449</v>
      </c>
      <c r="C201" s="12">
        <f t="shared" si="21"/>
        <v>0</v>
      </c>
      <c r="D201" s="4" t="s">
        <v>13</v>
      </c>
      <c r="E201" s="4" t="s">
        <v>23</v>
      </c>
      <c r="F201" s="4" t="s">
        <v>49</v>
      </c>
      <c r="G201" s="4" t="s">
        <v>50</v>
      </c>
      <c r="H201" s="4" t="s">
        <v>50</v>
      </c>
      <c r="I201" s="4"/>
      <c r="J201" s="4" t="s">
        <v>13</v>
      </c>
      <c r="K201" s="4" t="s">
        <v>18</v>
      </c>
      <c r="L201">
        <v>0</v>
      </c>
      <c r="M201" s="9">
        <f t="shared" si="22"/>
        <v>0</v>
      </c>
      <c r="N201">
        <v>0</v>
      </c>
      <c r="O201" s="9">
        <v>0</v>
      </c>
      <c r="P201" s="9">
        <f t="shared" si="23"/>
        <v>0</v>
      </c>
      <c r="Q201" s="16">
        <f t="shared" si="24"/>
        <v>0</v>
      </c>
    </row>
    <row r="202" spans="1:17" x14ac:dyDescent="0.25">
      <c r="A202" s="3" t="s">
        <v>450</v>
      </c>
      <c r="B202" s="4" t="s">
        <v>451</v>
      </c>
      <c r="C202" s="12">
        <f t="shared" si="21"/>
        <v>28.84</v>
      </c>
      <c r="D202" s="4" t="s">
        <v>13</v>
      </c>
      <c r="E202" s="4" t="s">
        <v>14</v>
      </c>
      <c r="F202" s="4" t="s">
        <v>44</v>
      </c>
      <c r="G202" s="4" t="s">
        <v>45</v>
      </c>
      <c r="H202" s="4" t="s">
        <v>23</v>
      </c>
      <c r="I202" s="4">
        <v>28</v>
      </c>
      <c r="J202" s="4" t="s">
        <v>13</v>
      </c>
      <c r="K202" s="4" t="s">
        <v>18</v>
      </c>
      <c r="L202" t="s">
        <v>450</v>
      </c>
      <c r="M202" s="9">
        <f t="shared" si="22"/>
        <v>35.001954399999995</v>
      </c>
      <c r="N202">
        <v>0</v>
      </c>
      <c r="O202" s="9">
        <v>0</v>
      </c>
      <c r="P202" s="9">
        <f t="shared" si="23"/>
        <v>-35.001954399999995</v>
      </c>
      <c r="Q202" s="16">
        <f t="shared" si="24"/>
        <v>35.001954399999995</v>
      </c>
    </row>
    <row r="203" spans="1:17" x14ac:dyDescent="0.25">
      <c r="A203" s="3" t="s">
        <v>452</v>
      </c>
      <c r="B203" s="4" t="s">
        <v>453</v>
      </c>
      <c r="C203" s="12">
        <f t="shared" si="21"/>
        <v>23.793000000000003</v>
      </c>
      <c r="D203" s="4" t="s">
        <v>13</v>
      </c>
      <c r="E203" s="4" t="s">
        <v>14</v>
      </c>
      <c r="F203" s="4" t="s">
        <v>44</v>
      </c>
      <c r="G203" s="4" t="s">
        <v>45</v>
      </c>
      <c r="H203" s="4" t="s">
        <v>23</v>
      </c>
      <c r="I203" s="4">
        <v>23.1</v>
      </c>
      <c r="J203" s="4" t="s">
        <v>13</v>
      </c>
      <c r="K203" s="4" t="s">
        <v>18</v>
      </c>
      <c r="L203" t="s">
        <v>452</v>
      </c>
      <c r="M203" s="9">
        <f t="shared" si="22"/>
        <v>28.876612380000001</v>
      </c>
      <c r="N203">
        <v>0</v>
      </c>
      <c r="O203" s="9">
        <v>0</v>
      </c>
      <c r="P203" s="9">
        <f t="shared" si="23"/>
        <v>-28.876612380000001</v>
      </c>
      <c r="Q203" s="16">
        <f t="shared" si="24"/>
        <v>28.876612380000001</v>
      </c>
    </row>
    <row r="204" spans="1:17" x14ac:dyDescent="0.25">
      <c r="A204" s="3" t="s">
        <v>454</v>
      </c>
      <c r="B204" s="4" t="s">
        <v>455</v>
      </c>
      <c r="C204" s="12">
        <f t="shared" si="21"/>
        <v>35.771899999999995</v>
      </c>
      <c r="D204" s="4" t="s">
        <v>13</v>
      </c>
      <c r="E204" s="4" t="s">
        <v>14</v>
      </c>
      <c r="F204" s="4" t="s">
        <v>44</v>
      </c>
      <c r="G204" s="4" t="s">
        <v>45</v>
      </c>
      <c r="H204" s="4" t="s">
        <v>23</v>
      </c>
      <c r="I204" s="4">
        <v>34.729999999999997</v>
      </c>
      <c r="J204" s="4" t="s">
        <v>13</v>
      </c>
      <c r="K204" s="4" t="s">
        <v>18</v>
      </c>
      <c r="L204" t="s">
        <v>454</v>
      </c>
      <c r="M204" s="9">
        <f t="shared" si="22"/>
        <v>43.414924153999991</v>
      </c>
      <c r="N204">
        <v>0</v>
      </c>
      <c r="O204" s="9">
        <v>0</v>
      </c>
      <c r="P204" s="9">
        <f t="shared" si="23"/>
        <v>-43.414924153999991</v>
      </c>
      <c r="Q204" s="16">
        <f t="shared" si="24"/>
        <v>43.414924153999991</v>
      </c>
    </row>
    <row r="205" spans="1:17" x14ac:dyDescent="0.25">
      <c r="A205" s="3" t="s">
        <v>456</v>
      </c>
      <c r="B205" s="4" t="s">
        <v>457</v>
      </c>
      <c r="C205" s="12">
        <f t="shared" si="21"/>
        <v>35.854300000000002</v>
      </c>
      <c r="D205" s="4" t="s">
        <v>13</v>
      </c>
      <c r="E205" s="4" t="s">
        <v>14</v>
      </c>
      <c r="F205" s="4" t="s">
        <v>44</v>
      </c>
      <c r="G205" s="4" t="s">
        <v>45</v>
      </c>
      <c r="H205" s="4" t="s">
        <v>23</v>
      </c>
      <c r="I205" s="4">
        <v>34.81</v>
      </c>
      <c r="J205" s="4" t="s">
        <v>13</v>
      </c>
      <c r="K205" s="4" t="s">
        <v>18</v>
      </c>
      <c r="L205" t="s">
        <v>456</v>
      </c>
      <c r="M205" s="9">
        <f t="shared" si="22"/>
        <v>43.514929737999999</v>
      </c>
      <c r="N205">
        <v>0</v>
      </c>
      <c r="O205" s="9">
        <v>0</v>
      </c>
      <c r="P205" s="9">
        <f t="shared" si="23"/>
        <v>-43.514929737999999</v>
      </c>
      <c r="Q205" s="16">
        <f t="shared" si="24"/>
        <v>43.514929737999999</v>
      </c>
    </row>
    <row r="206" spans="1:17" x14ac:dyDescent="0.25">
      <c r="A206" s="3">
        <v>7974010</v>
      </c>
      <c r="B206" s="4" t="s">
        <v>458</v>
      </c>
      <c r="C206" s="12">
        <f t="shared" si="21"/>
        <v>75.704999999999998</v>
      </c>
      <c r="D206" s="4" t="s">
        <v>13</v>
      </c>
      <c r="E206" s="4" t="s">
        <v>14</v>
      </c>
      <c r="F206" s="4" t="s">
        <v>33</v>
      </c>
      <c r="G206" s="4" t="s">
        <v>34</v>
      </c>
      <c r="H206" s="4" t="s">
        <v>270</v>
      </c>
      <c r="I206" s="4">
        <v>73.5</v>
      </c>
      <c r="J206" s="4" t="s">
        <v>383</v>
      </c>
      <c r="K206" s="4" t="s">
        <v>18</v>
      </c>
      <c r="L206">
        <v>0</v>
      </c>
      <c r="M206" s="9">
        <f t="shared" si="22"/>
        <v>91.88013029999999</v>
      </c>
      <c r="N206">
        <v>0</v>
      </c>
      <c r="O206" s="9">
        <v>0</v>
      </c>
      <c r="P206" s="9">
        <f t="shared" si="23"/>
        <v>-91.88013029999999</v>
      </c>
      <c r="Q206" s="16">
        <f t="shared" si="24"/>
        <v>91.88013029999999</v>
      </c>
    </row>
    <row r="207" spans="1:17" customFormat="1" x14ac:dyDescent="0.25">
      <c r="A207" s="3">
        <v>7972010</v>
      </c>
      <c r="B207" s="4" t="s">
        <v>459</v>
      </c>
      <c r="C207" s="13">
        <f t="shared" si="21"/>
        <v>7.0215100000000001</v>
      </c>
      <c r="D207" s="8" t="s">
        <v>191</v>
      </c>
      <c r="E207" s="8" t="s">
        <v>14</v>
      </c>
      <c r="F207" s="8" t="s">
        <v>33</v>
      </c>
      <c r="G207" s="8" t="s">
        <v>34</v>
      </c>
      <c r="H207" s="8" t="s">
        <v>270</v>
      </c>
      <c r="I207" s="8">
        <v>6.8170000000000002</v>
      </c>
      <c r="J207" s="8" t="s">
        <v>379</v>
      </c>
      <c r="K207" s="8" t="s">
        <v>18</v>
      </c>
      <c r="L207">
        <v>0</v>
      </c>
      <c r="M207" s="9">
        <f t="shared" si="22"/>
        <v>8.5217258265999991</v>
      </c>
      <c r="N207">
        <v>0</v>
      </c>
      <c r="O207" s="9">
        <v>0</v>
      </c>
      <c r="P207" s="9">
        <f t="shared" si="23"/>
        <v>-8.5217258265999991</v>
      </c>
      <c r="Q207" s="16">
        <f t="shared" si="24"/>
        <v>8.5217258265999991</v>
      </c>
    </row>
    <row r="208" spans="1:17" customFormat="1" x14ac:dyDescent="0.25">
      <c r="A208" s="3">
        <v>7972030</v>
      </c>
      <c r="B208" s="4" t="s">
        <v>460</v>
      </c>
      <c r="C208" s="13">
        <f t="shared" si="21"/>
        <v>5.9633703999999996</v>
      </c>
      <c r="D208" s="8" t="s">
        <v>191</v>
      </c>
      <c r="E208" s="8" t="s">
        <v>14</v>
      </c>
      <c r="F208" s="8" t="s">
        <v>33</v>
      </c>
      <c r="G208" s="8" t="s">
        <v>34</v>
      </c>
      <c r="H208" s="8" t="s">
        <v>270</v>
      </c>
      <c r="I208" s="8">
        <v>5.7896799999999997</v>
      </c>
      <c r="J208" s="8" t="s">
        <v>379</v>
      </c>
      <c r="K208" s="8" t="s">
        <v>18</v>
      </c>
      <c r="L208">
        <v>0</v>
      </c>
      <c r="M208" s="9">
        <f t="shared" si="22"/>
        <v>7.2375041196639991</v>
      </c>
      <c r="N208">
        <v>0</v>
      </c>
      <c r="O208" s="9">
        <v>0</v>
      </c>
      <c r="P208" s="9">
        <f t="shared" si="23"/>
        <v>-7.2375041196639991</v>
      </c>
      <c r="Q208" s="16">
        <f t="shared" si="24"/>
        <v>7.2375041196639991</v>
      </c>
    </row>
    <row r="209" spans="1:17" x14ac:dyDescent="0.25">
      <c r="A209" s="3">
        <v>7974110</v>
      </c>
      <c r="B209" s="4" t="s">
        <v>461</v>
      </c>
      <c r="C209" s="12">
        <f t="shared" si="21"/>
        <v>75.704999999999998</v>
      </c>
      <c r="D209" s="4" t="s">
        <v>13</v>
      </c>
      <c r="E209" s="4" t="s">
        <v>14</v>
      </c>
      <c r="F209" s="4" t="s">
        <v>33</v>
      </c>
      <c r="G209" s="4" t="s">
        <v>34</v>
      </c>
      <c r="H209" s="4" t="s">
        <v>270</v>
      </c>
      <c r="I209" s="4">
        <v>73.5</v>
      </c>
      <c r="J209" s="4" t="s">
        <v>383</v>
      </c>
      <c r="K209" s="4" t="s">
        <v>18</v>
      </c>
      <c r="L209">
        <v>0</v>
      </c>
      <c r="M209" s="9">
        <f t="shared" si="22"/>
        <v>91.88013029999999</v>
      </c>
      <c r="N209">
        <v>0</v>
      </c>
      <c r="O209" s="9">
        <v>0</v>
      </c>
      <c r="P209" s="9">
        <f t="shared" si="23"/>
        <v>-91.88013029999999</v>
      </c>
      <c r="Q209" s="16">
        <f t="shared" si="24"/>
        <v>91.88013029999999</v>
      </c>
    </row>
    <row r="210" spans="1:17" customFormat="1" x14ac:dyDescent="0.25">
      <c r="A210" s="3">
        <v>795950</v>
      </c>
      <c r="B210" s="4" t="s">
        <v>462</v>
      </c>
      <c r="C210" s="13">
        <f t="shared" si="21"/>
        <v>9.8623014999999992</v>
      </c>
      <c r="D210" s="8" t="s">
        <v>13</v>
      </c>
      <c r="E210" s="8" t="s">
        <v>14</v>
      </c>
      <c r="F210" s="8" t="s">
        <v>33</v>
      </c>
      <c r="G210" s="8" t="s">
        <v>34</v>
      </c>
      <c r="H210" s="8" t="s">
        <v>270</v>
      </c>
      <c r="I210" s="8">
        <v>9.5750499999999992</v>
      </c>
      <c r="J210" s="8" t="s">
        <v>13</v>
      </c>
      <c r="K210" s="8" t="s">
        <v>18</v>
      </c>
      <c r="L210">
        <v>0</v>
      </c>
      <c r="M210" s="9">
        <f t="shared" si="22"/>
        <v>11.969480838489998</v>
      </c>
      <c r="N210">
        <v>0</v>
      </c>
      <c r="O210" s="9">
        <v>0</v>
      </c>
      <c r="P210" s="9">
        <f t="shared" si="23"/>
        <v>-11.969480838489998</v>
      </c>
      <c r="Q210" s="16">
        <f t="shared" si="24"/>
        <v>11.969480838489998</v>
      </c>
    </row>
    <row r="211" spans="1:17" x14ac:dyDescent="0.25">
      <c r="A211" s="3">
        <v>7970620</v>
      </c>
      <c r="B211" s="4" t="s">
        <v>463</v>
      </c>
      <c r="C211" s="12">
        <v>150</v>
      </c>
      <c r="D211" s="4" t="s">
        <v>191</v>
      </c>
      <c r="E211" s="4" t="s">
        <v>14</v>
      </c>
      <c r="F211" s="4" t="s">
        <v>33</v>
      </c>
      <c r="G211" s="4" t="s">
        <v>34</v>
      </c>
      <c r="H211" s="4" t="s">
        <v>270</v>
      </c>
      <c r="I211" s="4">
        <v>10</v>
      </c>
      <c r="J211" s="4" t="s">
        <v>379</v>
      </c>
      <c r="K211" s="4" t="s">
        <v>18</v>
      </c>
      <c r="L211">
        <v>0</v>
      </c>
      <c r="M211" s="9">
        <f t="shared" si="22"/>
        <v>182.04900000000001</v>
      </c>
      <c r="N211">
        <v>0</v>
      </c>
      <c r="O211" s="9">
        <v>0</v>
      </c>
      <c r="P211" s="9">
        <f t="shared" si="23"/>
        <v>-182.04900000000001</v>
      </c>
      <c r="Q211" s="16">
        <f t="shared" si="24"/>
        <v>182.04900000000001</v>
      </c>
    </row>
    <row r="212" spans="1:17" x14ac:dyDescent="0.25">
      <c r="A212" s="3">
        <v>7970220</v>
      </c>
      <c r="B212" s="4" t="s">
        <v>464</v>
      </c>
      <c r="C212" s="12">
        <v>330</v>
      </c>
      <c r="D212" s="4" t="s">
        <v>191</v>
      </c>
      <c r="E212" s="4" t="s">
        <v>14</v>
      </c>
      <c r="F212" s="4" t="s">
        <v>33</v>
      </c>
      <c r="G212" s="4" t="s">
        <v>34</v>
      </c>
      <c r="H212" s="4" t="s">
        <v>270</v>
      </c>
      <c r="I212" s="4">
        <v>20.475000000000001</v>
      </c>
      <c r="J212" s="4" t="s">
        <v>379</v>
      </c>
      <c r="K212" s="4" t="s">
        <v>18</v>
      </c>
      <c r="L212">
        <v>0</v>
      </c>
      <c r="M212" s="9">
        <f t="shared" si="22"/>
        <v>400.50779999999997</v>
      </c>
      <c r="N212">
        <v>0</v>
      </c>
      <c r="O212" s="9">
        <v>0</v>
      </c>
      <c r="P212" s="9">
        <f t="shared" si="23"/>
        <v>-400.50779999999997</v>
      </c>
      <c r="Q212" s="16">
        <f t="shared" si="24"/>
        <v>400.50779999999997</v>
      </c>
    </row>
    <row r="213" spans="1:17" x14ac:dyDescent="0.25">
      <c r="A213" s="3">
        <v>7969920</v>
      </c>
      <c r="B213" s="4" t="s">
        <v>465</v>
      </c>
      <c r="C213" s="12">
        <v>660</v>
      </c>
      <c r="D213" s="4" t="s">
        <v>191</v>
      </c>
      <c r="E213" s="4" t="s">
        <v>14</v>
      </c>
      <c r="F213" s="4" t="s">
        <v>33</v>
      </c>
      <c r="G213" s="4" t="s">
        <v>34</v>
      </c>
      <c r="H213" s="4" t="s">
        <v>270</v>
      </c>
      <c r="I213" s="4">
        <v>36.75</v>
      </c>
      <c r="J213" s="4" t="s">
        <v>379</v>
      </c>
      <c r="K213" s="4" t="s">
        <v>18</v>
      </c>
      <c r="L213">
        <v>0</v>
      </c>
      <c r="M213" s="9">
        <f t="shared" si="22"/>
        <v>801.01559999999995</v>
      </c>
      <c r="N213">
        <v>0</v>
      </c>
      <c r="O213" s="9">
        <v>0</v>
      </c>
      <c r="P213" s="9">
        <f t="shared" si="23"/>
        <v>-801.01559999999995</v>
      </c>
      <c r="Q213" s="16">
        <f t="shared" si="24"/>
        <v>801.01559999999995</v>
      </c>
    </row>
    <row r="214" spans="1:17" x14ac:dyDescent="0.25">
      <c r="A214" s="3">
        <v>795601</v>
      </c>
      <c r="B214" s="4" t="s">
        <v>466</v>
      </c>
      <c r="C214" s="12">
        <f>I214*3%+I214</f>
        <v>5.4074999999999998</v>
      </c>
      <c r="D214" s="4" t="s">
        <v>13</v>
      </c>
      <c r="E214" s="4" t="s">
        <v>14</v>
      </c>
      <c r="F214" s="4" t="s">
        <v>33</v>
      </c>
      <c r="G214" s="4" t="s">
        <v>34</v>
      </c>
      <c r="H214" s="4" t="s">
        <v>270</v>
      </c>
      <c r="I214" s="4">
        <v>5.25</v>
      </c>
      <c r="J214" s="4" t="s">
        <v>13</v>
      </c>
      <c r="K214" s="4" t="s">
        <v>18</v>
      </c>
      <c r="L214">
        <v>0</v>
      </c>
      <c r="M214" s="9">
        <f t="shared" si="22"/>
        <v>6.5628664499999996</v>
      </c>
      <c r="N214">
        <v>0</v>
      </c>
      <c r="O214" s="9">
        <v>0</v>
      </c>
      <c r="P214" s="9">
        <f t="shared" si="23"/>
        <v>-6.5628664499999996</v>
      </c>
      <c r="Q214" s="16">
        <f t="shared" si="24"/>
        <v>6.5628664499999996</v>
      </c>
    </row>
    <row r="215" spans="1:17" x14ac:dyDescent="0.25">
      <c r="A215" s="3">
        <v>795710</v>
      </c>
      <c r="B215" s="4" t="s">
        <v>467</v>
      </c>
      <c r="C215" s="12">
        <f>I215*3%+I215</f>
        <v>21.63</v>
      </c>
      <c r="D215" s="4" t="s">
        <v>13</v>
      </c>
      <c r="E215" s="4" t="s">
        <v>14</v>
      </c>
      <c r="F215" s="4" t="s">
        <v>33</v>
      </c>
      <c r="G215" s="4" t="s">
        <v>34</v>
      </c>
      <c r="H215" s="4" t="s">
        <v>270</v>
      </c>
      <c r="I215" s="4">
        <v>21</v>
      </c>
      <c r="J215" s="4" t="s">
        <v>13</v>
      </c>
      <c r="K215" s="4" t="s">
        <v>18</v>
      </c>
      <c r="L215">
        <v>0</v>
      </c>
      <c r="M215" s="9">
        <f t="shared" si="22"/>
        <v>26.251465799999998</v>
      </c>
      <c r="N215">
        <v>0</v>
      </c>
      <c r="O215" s="9">
        <v>0</v>
      </c>
      <c r="P215" s="9">
        <f t="shared" si="23"/>
        <v>-26.251465799999998</v>
      </c>
      <c r="Q215" s="16">
        <f t="shared" si="24"/>
        <v>26.251465799999998</v>
      </c>
    </row>
    <row r="216" spans="1:17" x14ac:dyDescent="0.25">
      <c r="A216" s="7">
        <v>795550</v>
      </c>
      <c r="B216" s="8" t="s">
        <v>468</v>
      </c>
      <c r="C216" s="14">
        <v>64.89</v>
      </c>
      <c r="D216" s="8" t="s">
        <v>191</v>
      </c>
      <c r="E216" s="8" t="s">
        <v>14</v>
      </c>
      <c r="F216" s="8" t="s">
        <v>33</v>
      </c>
      <c r="G216" s="8" t="s">
        <v>34</v>
      </c>
      <c r="H216" s="8" t="s">
        <v>270</v>
      </c>
      <c r="I216" s="8">
        <v>5.5418000000000003</v>
      </c>
      <c r="J216" s="8" t="s">
        <v>379</v>
      </c>
      <c r="K216" s="8" t="s">
        <v>18</v>
      </c>
      <c r="L216">
        <v>0</v>
      </c>
      <c r="M216" s="9">
        <f t="shared" si="22"/>
        <v>78.754397400000002</v>
      </c>
      <c r="N216">
        <v>0</v>
      </c>
      <c r="O216" s="9">
        <v>0</v>
      </c>
      <c r="P216" s="9">
        <f t="shared" si="23"/>
        <v>-78.754397400000002</v>
      </c>
      <c r="Q216" s="17" t="s">
        <v>1113</v>
      </c>
    </row>
    <row r="217" spans="1:17" customFormat="1" x14ac:dyDescent="0.25">
      <c r="A217" s="3">
        <v>795850</v>
      </c>
      <c r="B217" s="4" t="s">
        <v>469</v>
      </c>
      <c r="C217" s="13">
        <f>I217*3%+I217</f>
        <v>9.8623014999999992</v>
      </c>
      <c r="D217" s="8" t="s">
        <v>13</v>
      </c>
      <c r="E217" s="8" t="s">
        <v>14</v>
      </c>
      <c r="F217" s="8" t="s">
        <v>33</v>
      </c>
      <c r="G217" s="8" t="s">
        <v>34</v>
      </c>
      <c r="H217" s="8" t="s">
        <v>270</v>
      </c>
      <c r="I217" s="8">
        <v>9.5750499999999992</v>
      </c>
      <c r="J217" s="8" t="s">
        <v>13</v>
      </c>
      <c r="K217" s="8" t="s">
        <v>18</v>
      </c>
      <c r="L217">
        <v>0</v>
      </c>
      <c r="M217" s="9">
        <f t="shared" si="22"/>
        <v>11.969480838489998</v>
      </c>
      <c r="N217">
        <v>0</v>
      </c>
      <c r="O217" s="9">
        <v>0</v>
      </c>
      <c r="P217" s="9">
        <f t="shared" si="23"/>
        <v>-11.969480838489998</v>
      </c>
      <c r="Q217" s="16">
        <f>C217*1.21366</f>
        <v>11.969480838489998</v>
      </c>
    </row>
    <row r="218" spans="1:17" x14ac:dyDescent="0.25">
      <c r="A218" s="3" t="s">
        <v>470</v>
      </c>
      <c r="B218" s="4" t="s">
        <v>471</v>
      </c>
      <c r="C218" s="12">
        <f t="shared" ref="C218:C225" si="25">I218*3%+I218</f>
        <v>0</v>
      </c>
      <c r="D218" s="4" t="s">
        <v>191</v>
      </c>
      <c r="E218" s="4"/>
      <c r="F218" s="4" t="s">
        <v>33</v>
      </c>
      <c r="G218" s="4" t="s">
        <v>34</v>
      </c>
      <c r="H218" s="4" t="s">
        <v>270</v>
      </c>
      <c r="I218" s="4"/>
      <c r="J218" s="4" t="s">
        <v>191</v>
      </c>
      <c r="K218" s="4" t="s">
        <v>18</v>
      </c>
      <c r="L218">
        <v>0</v>
      </c>
      <c r="M218" s="9">
        <f t="shared" si="22"/>
        <v>0</v>
      </c>
      <c r="N218">
        <v>0</v>
      </c>
      <c r="O218" s="9">
        <v>0</v>
      </c>
      <c r="P218" s="9">
        <f t="shared" si="23"/>
        <v>0</v>
      </c>
      <c r="Q218" s="16">
        <f t="shared" ref="Q218:Q281" si="26">C218*1.21366</f>
        <v>0</v>
      </c>
    </row>
    <row r="219" spans="1:17" x14ac:dyDescent="0.25">
      <c r="A219" s="3">
        <v>7953410</v>
      </c>
      <c r="B219" s="4" t="s">
        <v>472</v>
      </c>
      <c r="C219" s="12">
        <f t="shared" si="25"/>
        <v>5.4074999999999998</v>
      </c>
      <c r="D219" s="4" t="s">
        <v>13</v>
      </c>
      <c r="E219" s="4" t="s">
        <v>14</v>
      </c>
      <c r="F219" s="4" t="s">
        <v>33</v>
      </c>
      <c r="G219" s="4" t="s">
        <v>34</v>
      </c>
      <c r="H219" s="4" t="s">
        <v>270</v>
      </c>
      <c r="I219" s="4">
        <v>5.25</v>
      </c>
      <c r="J219" s="4" t="s">
        <v>13</v>
      </c>
      <c r="K219" s="4" t="s">
        <v>18</v>
      </c>
      <c r="L219">
        <v>0</v>
      </c>
      <c r="M219" s="9">
        <f t="shared" si="22"/>
        <v>6.5628664499999996</v>
      </c>
      <c r="N219">
        <v>0</v>
      </c>
      <c r="O219" s="9">
        <v>0</v>
      </c>
      <c r="P219" s="9">
        <f t="shared" si="23"/>
        <v>-6.5628664499999996</v>
      </c>
      <c r="Q219" s="16">
        <f t="shared" si="26"/>
        <v>6.5628664499999996</v>
      </c>
    </row>
    <row r="220" spans="1:17" x14ac:dyDescent="0.25">
      <c r="A220" s="3">
        <v>7953310</v>
      </c>
      <c r="B220" s="4" t="s">
        <v>473</v>
      </c>
      <c r="C220" s="12">
        <f t="shared" si="25"/>
        <v>5.4074999999999998</v>
      </c>
      <c r="D220" s="4" t="s">
        <v>13</v>
      </c>
      <c r="E220" s="4" t="s">
        <v>14</v>
      </c>
      <c r="F220" s="4" t="s">
        <v>33</v>
      </c>
      <c r="G220" s="4" t="s">
        <v>34</v>
      </c>
      <c r="H220" s="4" t="s">
        <v>270</v>
      </c>
      <c r="I220" s="4">
        <v>5.25</v>
      </c>
      <c r="J220" s="4" t="s">
        <v>13</v>
      </c>
      <c r="K220" s="4" t="s">
        <v>18</v>
      </c>
      <c r="L220">
        <v>7953310</v>
      </c>
      <c r="M220" s="9">
        <f t="shared" si="22"/>
        <v>6.5628664499999996</v>
      </c>
      <c r="N220">
        <v>0</v>
      </c>
      <c r="O220" s="9">
        <v>0</v>
      </c>
      <c r="P220" s="9">
        <f t="shared" si="23"/>
        <v>-6.5628664499999996</v>
      </c>
      <c r="Q220" s="16">
        <f t="shared" si="26"/>
        <v>6.5628664499999996</v>
      </c>
    </row>
    <row r="221" spans="1:17" x14ac:dyDescent="0.25">
      <c r="A221" s="7">
        <v>7953010</v>
      </c>
      <c r="B221" s="8" t="s">
        <v>474</v>
      </c>
      <c r="C221" s="14">
        <f t="shared" si="25"/>
        <v>57.0929</v>
      </c>
      <c r="D221" s="8" t="s">
        <v>191</v>
      </c>
      <c r="E221" s="8" t="s">
        <v>14</v>
      </c>
      <c r="F221" s="8" t="s">
        <v>33</v>
      </c>
      <c r="G221" s="8" t="s">
        <v>34</v>
      </c>
      <c r="H221" s="8" t="s">
        <v>270</v>
      </c>
      <c r="I221" s="8">
        <v>55.43</v>
      </c>
      <c r="J221" s="8" t="s">
        <v>191</v>
      </c>
      <c r="K221" s="8" t="s">
        <v>18</v>
      </c>
      <c r="L221">
        <v>0</v>
      </c>
      <c r="M221" s="9">
        <f t="shared" si="22"/>
        <v>69.291369013999997</v>
      </c>
      <c r="N221">
        <v>0</v>
      </c>
      <c r="O221" s="9">
        <v>0</v>
      </c>
      <c r="P221" s="9">
        <f t="shared" si="23"/>
        <v>-69.291369013999997</v>
      </c>
      <c r="Q221" s="16">
        <f t="shared" si="26"/>
        <v>69.291369013999997</v>
      </c>
    </row>
    <row r="222" spans="1:17" x14ac:dyDescent="0.25">
      <c r="A222" s="7">
        <v>7953005</v>
      </c>
      <c r="B222" s="8" t="s">
        <v>475</v>
      </c>
      <c r="C222" s="14">
        <f t="shared" si="25"/>
        <v>7.3727400000000003</v>
      </c>
      <c r="D222" s="8" t="s">
        <v>191</v>
      </c>
      <c r="E222" s="8" t="s">
        <v>14</v>
      </c>
      <c r="F222" s="8" t="s">
        <v>33</v>
      </c>
      <c r="G222" s="8" t="s">
        <v>34</v>
      </c>
      <c r="H222" s="8" t="s">
        <v>270</v>
      </c>
      <c r="I222" s="8">
        <v>7.1580000000000004</v>
      </c>
      <c r="J222" s="8" t="s">
        <v>379</v>
      </c>
      <c r="K222" s="8" t="s">
        <v>18</v>
      </c>
      <c r="L222">
        <v>0</v>
      </c>
      <c r="M222" s="9">
        <f t="shared" si="22"/>
        <v>8.9479996283999998</v>
      </c>
      <c r="N222">
        <v>0</v>
      </c>
      <c r="O222" s="9">
        <v>0</v>
      </c>
      <c r="P222" s="9">
        <f t="shared" si="23"/>
        <v>-8.9479996283999998</v>
      </c>
      <c r="Q222" s="16">
        <f t="shared" si="26"/>
        <v>8.9479996283999998</v>
      </c>
    </row>
    <row r="223" spans="1:17" x14ac:dyDescent="0.25">
      <c r="A223" s="3">
        <v>7950425</v>
      </c>
      <c r="B223" s="4" t="s">
        <v>476</v>
      </c>
      <c r="C223" s="12">
        <f t="shared" si="25"/>
        <v>4.5336480000000003</v>
      </c>
      <c r="D223" s="4" t="s">
        <v>191</v>
      </c>
      <c r="E223" s="4" t="s">
        <v>14</v>
      </c>
      <c r="F223" s="4" t="s">
        <v>33</v>
      </c>
      <c r="G223" s="4" t="s">
        <v>34</v>
      </c>
      <c r="H223" s="4" t="s">
        <v>477</v>
      </c>
      <c r="I223" s="4">
        <v>4.4016000000000002</v>
      </c>
      <c r="J223" s="4" t="s">
        <v>379</v>
      </c>
      <c r="K223" s="4" t="s">
        <v>18</v>
      </c>
      <c r="L223">
        <v>0</v>
      </c>
      <c r="M223" s="9">
        <f t="shared" si="22"/>
        <v>5.5023072316800006</v>
      </c>
      <c r="N223">
        <v>0</v>
      </c>
      <c r="O223" s="9">
        <v>0</v>
      </c>
      <c r="P223" s="9">
        <f t="shared" si="23"/>
        <v>-5.5023072316800006</v>
      </c>
      <c r="Q223" s="16">
        <f t="shared" si="26"/>
        <v>5.5023072316800006</v>
      </c>
    </row>
    <row r="224" spans="1:17" x14ac:dyDescent="0.25">
      <c r="A224" s="3">
        <v>795130</v>
      </c>
      <c r="B224" s="4" t="s">
        <v>478</v>
      </c>
      <c r="C224" s="12">
        <f t="shared" si="25"/>
        <v>9.0124999999999993</v>
      </c>
      <c r="D224" s="4" t="s">
        <v>191</v>
      </c>
      <c r="E224" s="4" t="s">
        <v>14</v>
      </c>
      <c r="F224" s="4" t="s">
        <v>33</v>
      </c>
      <c r="G224" s="4" t="s">
        <v>34</v>
      </c>
      <c r="H224" s="4" t="s">
        <v>270</v>
      </c>
      <c r="I224" s="4">
        <v>8.75</v>
      </c>
      <c r="J224" s="4" t="s">
        <v>379</v>
      </c>
      <c r="K224" s="4" t="s">
        <v>18</v>
      </c>
      <c r="L224">
        <v>0</v>
      </c>
      <c r="M224" s="9">
        <f t="shared" si="22"/>
        <v>10.938110749999998</v>
      </c>
      <c r="N224">
        <v>0</v>
      </c>
      <c r="O224" s="9">
        <v>0</v>
      </c>
      <c r="P224" s="9">
        <f t="shared" si="23"/>
        <v>-10.938110749999998</v>
      </c>
      <c r="Q224" s="16">
        <f t="shared" si="26"/>
        <v>10.938110749999998</v>
      </c>
    </row>
    <row r="225" spans="1:17" x14ac:dyDescent="0.25">
      <c r="A225" s="3">
        <v>795230</v>
      </c>
      <c r="B225" s="4" t="s">
        <v>479</v>
      </c>
      <c r="C225" s="12">
        <f t="shared" si="25"/>
        <v>16.2225</v>
      </c>
      <c r="D225" s="4" t="s">
        <v>191</v>
      </c>
      <c r="E225" s="4" t="s">
        <v>14</v>
      </c>
      <c r="F225" s="4" t="s">
        <v>33</v>
      </c>
      <c r="G225" s="4" t="s">
        <v>34</v>
      </c>
      <c r="H225" s="4" t="s">
        <v>270</v>
      </c>
      <c r="I225" s="4">
        <v>15.75</v>
      </c>
      <c r="J225" s="4" t="s">
        <v>379</v>
      </c>
      <c r="K225" s="4" t="s">
        <v>18</v>
      </c>
      <c r="L225">
        <v>0</v>
      </c>
      <c r="M225" s="9">
        <f t="shared" si="22"/>
        <v>19.68859935</v>
      </c>
      <c r="N225">
        <v>0</v>
      </c>
      <c r="O225" s="9">
        <v>0</v>
      </c>
      <c r="P225" s="9">
        <f t="shared" si="23"/>
        <v>-19.68859935</v>
      </c>
      <c r="Q225" s="16">
        <f t="shared" si="26"/>
        <v>19.68859935</v>
      </c>
    </row>
    <row r="226" spans="1:17" x14ac:dyDescent="0.25">
      <c r="A226" s="3">
        <v>1666902</v>
      </c>
      <c r="B226" s="4" t="s">
        <v>480</v>
      </c>
      <c r="C226" s="12">
        <v>100</v>
      </c>
      <c r="D226" s="4" t="s">
        <v>111</v>
      </c>
      <c r="E226" s="4" t="s">
        <v>14</v>
      </c>
      <c r="F226" s="4" t="s">
        <v>33</v>
      </c>
      <c r="G226" s="4" t="s">
        <v>34</v>
      </c>
      <c r="H226" s="4" t="s">
        <v>112</v>
      </c>
      <c r="I226" s="4">
        <v>52.5</v>
      </c>
      <c r="J226" s="4" t="s">
        <v>331</v>
      </c>
      <c r="K226" s="4" t="s">
        <v>18</v>
      </c>
      <c r="L226">
        <v>0</v>
      </c>
      <c r="M226" s="9">
        <f t="shared" si="22"/>
        <v>121.366</v>
      </c>
      <c r="N226">
        <v>0</v>
      </c>
      <c r="O226" s="9">
        <v>0</v>
      </c>
      <c r="P226" s="9">
        <f t="shared" si="23"/>
        <v>-121.366</v>
      </c>
      <c r="Q226" s="16">
        <f t="shared" si="26"/>
        <v>121.366</v>
      </c>
    </row>
    <row r="227" spans="1:17" x14ac:dyDescent="0.25">
      <c r="A227" s="3">
        <v>7823225</v>
      </c>
      <c r="B227" s="4" t="s">
        <v>481</v>
      </c>
      <c r="C227" s="12">
        <f>I227*3%+I227</f>
        <v>502.89749999999998</v>
      </c>
      <c r="D227" s="4" t="s">
        <v>118</v>
      </c>
      <c r="E227" s="4"/>
      <c r="F227" s="4" t="s">
        <v>33</v>
      </c>
      <c r="G227" s="4" t="s">
        <v>34</v>
      </c>
      <c r="H227" s="4" t="s">
        <v>330</v>
      </c>
      <c r="I227" s="4">
        <v>488.25</v>
      </c>
      <c r="J227" s="4" t="s">
        <v>118</v>
      </c>
      <c r="K227" s="4" t="s">
        <v>18</v>
      </c>
      <c r="L227">
        <v>0</v>
      </c>
      <c r="M227" s="9">
        <f t="shared" si="22"/>
        <v>610.34657985000001</v>
      </c>
      <c r="N227">
        <v>0</v>
      </c>
      <c r="O227" s="9">
        <v>0</v>
      </c>
      <c r="P227" s="9">
        <f t="shared" si="23"/>
        <v>-610.34657985000001</v>
      </c>
      <c r="Q227" s="16">
        <f t="shared" si="26"/>
        <v>610.34657985000001</v>
      </c>
    </row>
    <row r="228" spans="1:17" x14ac:dyDescent="0.25">
      <c r="A228" s="3">
        <v>7823332</v>
      </c>
      <c r="B228" s="4" t="s">
        <v>482</v>
      </c>
      <c r="C228" s="12">
        <f t="shared" ref="C228:C236" si="27">I228*3%+I228</f>
        <v>34.268100000000004</v>
      </c>
      <c r="D228" s="4" t="s">
        <v>334</v>
      </c>
      <c r="E228" s="4"/>
      <c r="F228" s="4" t="s">
        <v>33</v>
      </c>
      <c r="G228" s="4" t="s">
        <v>34</v>
      </c>
      <c r="H228" s="4" t="s">
        <v>330</v>
      </c>
      <c r="I228" s="4">
        <v>33.270000000000003</v>
      </c>
      <c r="J228" s="4" t="s">
        <v>334</v>
      </c>
      <c r="K228" s="4" t="s">
        <v>18</v>
      </c>
      <c r="L228">
        <v>0</v>
      </c>
      <c r="M228" s="9">
        <f t="shared" si="22"/>
        <v>41.589822246000004</v>
      </c>
      <c r="N228">
        <v>0</v>
      </c>
      <c r="O228" s="9">
        <v>0</v>
      </c>
      <c r="P228" s="9">
        <f t="shared" si="23"/>
        <v>-41.589822246000004</v>
      </c>
      <c r="Q228" s="16">
        <f t="shared" si="26"/>
        <v>41.589822246000004</v>
      </c>
    </row>
    <row r="229" spans="1:17" x14ac:dyDescent="0.25">
      <c r="A229" s="3">
        <v>7823438</v>
      </c>
      <c r="B229" s="4" t="s">
        <v>483</v>
      </c>
      <c r="C229" s="12">
        <f t="shared" si="27"/>
        <v>13.884400000000001</v>
      </c>
      <c r="D229" s="4" t="s">
        <v>334</v>
      </c>
      <c r="E229" s="4"/>
      <c r="F229" s="4" t="s">
        <v>33</v>
      </c>
      <c r="G229" s="4" t="s">
        <v>34</v>
      </c>
      <c r="H229" s="4" t="s">
        <v>330</v>
      </c>
      <c r="I229" s="4">
        <v>13.48</v>
      </c>
      <c r="J229" s="4" t="s">
        <v>334</v>
      </c>
      <c r="K229" s="4" t="s">
        <v>18</v>
      </c>
      <c r="L229">
        <v>0</v>
      </c>
      <c r="M229" s="9">
        <f t="shared" si="22"/>
        <v>16.850940904000002</v>
      </c>
      <c r="N229">
        <v>0</v>
      </c>
      <c r="O229" s="9">
        <v>0</v>
      </c>
      <c r="P229" s="9">
        <f t="shared" si="23"/>
        <v>-16.850940904000002</v>
      </c>
      <c r="Q229" s="16">
        <f t="shared" si="26"/>
        <v>16.850940904000002</v>
      </c>
    </row>
    <row r="230" spans="1:17" x14ac:dyDescent="0.25">
      <c r="A230" s="3">
        <v>7820325</v>
      </c>
      <c r="B230" s="4" t="s">
        <v>484</v>
      </c>
      <c r="C230" s="12">
        <f t="shared" si="27"/>
        <v>275.52499999999998</v>
      </c>
      <c r="D230" s="4" t="s">
        <v>118</v>
      </c>
      <c r="E230" s="4"/>
      <c r="F230" s="4" t="s">
        <v>33</v>
      </c>
      <c r="G230" s="4" t="s">
        <v>34</v>
      </c>
      <c r="H230" s="4" t="s">
        <v>330</v>
      </c>
      <c r="I230" s="4">
        <v>267.5</v>
      </c>
      <c r="J230" s="4" t="s">
        <v>118</v>
      </c>
      <c r="K230" s="4" t="s">
        <v>18</v>
      </c>
      <c r="L230">
        <v>0</v>
      </c>
      <c r="M230" s="9">
        <f t="shared" si="22"/>
        <v>334.39367149999998</v>
      </c>
      <c r="N230">
        <v>0</v>
      </c>
      <c r="O230" s="9">
        <v>0</v>
      </c>
      <c r="P230" s="9">
        <f t="shared" si="23"/>
        <v>-334.39367149999998</v>
      </c>
      <c r="Q230" s="16">
        <f t="shared" si="26"/>
        <v>334.39367149999998</v>
      </c>
    </row>
    <row r="231" spans="1:17" x14ac:dyDescent="0.25">
      <c r="A231" s="3">
        <v>7820432</v>
      </c>
      <c r="B231" s="4" t="s">
        <v>485</v>
      </c>
      <c r="C231" s="12">
        <f t="shared" si="27"/>
        <v>34.268100000000004</v>
      </c>
      <c r="D231" s="4" t="s">
        <v>334</v>
      </c>
      <c r="E231" s="4"/>
      <c r="F231" s="4" t="s">
        <v>33</v>
      </c>
      <c r="G231" s="4" t="s">
        <v>34</v>
      </c>
      <c r="H231" s="4" t="s">
        <v>330</v>
      </c>
      <c r="I231" s="4">
        <v>33.270000000000003</v>
      </c>
      <c r="J231" s="4" t="s">
        <v>334</v>
      </c>
      <c r="K231" s="4" t="s">
        <v>18</v>
      </c>
      <c r="L231">
        <v>0</v>
      </c>
      <c r="M231" s="9">
        <f t="shared" si="22"/>
        <v>41.589822246000004</v>
      </c>
      <c r="N231">
        <v>0</v>
      </c>
      <c r="O231" s="9">
        <v>0</v>
      </c>
      <c r="P231" s="9">
        <f t="shared" si="23"/>
        <v>-41.589822246000004</v>
      </c>
      <c r="Q231" s="16">
        <f t="shared" si="26"/>
        <v>41.589822246000004</v>
      </c>
    </row>
    <row r="232" spans="1:17" x14ac:dyDescent="0.25">
      <c r="A232" s="3">
        <v>7820538</v>
      </c>
      <c r="B232" s="4" t="s">
        <v>486</v>
      </c>
      <c r="C232" s="12">
        <f t="shared" si="27"/>
        <v>13.884400000000001</v>
      </c>
      <c r="D232" s="4" t="s">
        <v>334</v>
      </c>
      <c r="E232" s="4"/>
      <c r="F232" s="4" t="s">
        <v>33</v>
      </c>
      <c r="G232" s="4" t="s">
        <v>34</v>
      </c>
      <c r="H232" s="4" t="s">
        <v>330</v>
      </c>
      <c r="I232" s="4">
        <v>13.48</v>
      </c>
      <c r="J232" s="4" t="s">
        <v>334</v>
      </c>
      <c r="K232" s="4" t="s">
        <v>18</v>
      </c>
      <c r="L232">
        <v>0</v>
      </c>
      <c r="M232" s="9">
        <f t="shared" si="22"/>
        <v>16.850940904000002</v>
      </c>
      <c r="N232">
        <v>0</v>
      </c>
      <c r="O232" s="9">
        <v>0</v>
      </c>
      <c r="P232" s="9">
        <f t="shared" si="23"/>
        <v>-16.850940904000002</v>
      </c>
      <c r="Q232" s="16">
        <f t="shared" si="26"/>
        <v>16.850940904000002</v>
      </c>
    </row>
    <row r="233" spans="1:17" x14ac:dyDescent="0.25">
      <c r="A233" s="3">
        <v>7824825</v>
      </c>
      <c r="B233" s="4" t="s">
        <v>487</v>
      </c>
      <c r="C233" s="12">
        <f t="shared" si="27"/>
        <v>381.98580000000004</v>
      </c>
      <c r="D233" s="4" t="s">
        <v>118</v>
      </c>
      <c r="E233" s="4"/>
      <c r="F233" s="4" t="s">
        <v>33</v>
      </c>
      <c r="G233" s="4" t="s">
        <v>34</v>
      </c>
      <c r="H233" s="4" t="s">
        <v>330</v>
      </c>
      <c r="I233" s="4">
        <v>370.86</v>
      </c>
      <c r="J233" s="4" t="s">
        <v>118</v>
      </c>
      <c r="K233" s="4" t="s">
        <v>18</v>
      </c>
      <c r="L233">
        <v>0</v>
      </c>
      <c r="M233" s="9">
        <f t="shared" si="22"/>
        <v>463.60088602800005</v>
      </c>
      <c r="N233">
        <v>0</v>
      </c>
      <c r="O233" s="9">
        <v>0</v>
      </c>
      <c r="P233" s="9">
        <f t="shared" si="23"/>
        <v>-463.60088602800005</v>
      </c>
      <c r="Q233" s="16">
        <f t="shared" si="26"/>
        <v>463.60088602800005</v>
      </c>
    </row>
    <row r="234" spans="1:17" x14ac:dyDescent="0.25">
      <c r="A234" s="3">
        <v>124810</v>
      </c>
      <c r="B234" s="4" t="s">
        <v>488</v>
      </c>
      <c r="C234" s="12">
        <f t="shared" si="27"/>
        <v>5.7144399999999997</v>
      </c>
      <c r="D234" s="4" t="s">
        <v>111</v>
      </c>
      <c r="E234" s="4" t="s">
        <v>14</v>
      </c>
      <c r="F234" s="4" t="s">
        <v>33</v>
      </c>
      <c r="G234" s="4" t="s">
        <v>34</v>
      </c>
      <c r="H234" s="4" t="s">
        <v>489</v>
      </c>
      <c r="I234" s="4">
        <v>5.548</v>
      </c>
      <c r="J234" s="4" t="s">
        <v>331</v>
      </c>
      <c r="K234" s="4" t="s">
        <v>18</v>
      </c>
      <c r="L234">
        <v>0</v>
      </c>
      <c r="M234" s="9">
        <f t="shared" si="22"/>
        <v>6.9353872503999998</v>
      </c>
      <c r="N234">
        <v>0</v>
      </c>
      <c r="O234" s="9">
        <v>0</v>
      </c>
      <c r="P234" s="9">
        <f t="shared" si="23"/>
        <v>-6.9353872503999998</v>
      </c>
      <c r="Q234" s="16">
        <f t="shared" si="26"/>
        <v>6.9353872503999998</v>
      </c>
    </row>
    <row r="235" spans="1:17" x14ac:dyDescent="0.25">
      <c r="A235" s="3">
        <v>124820</v>
      </c>
      <c r="B235" s="4" t="s">
        <v>490</v>
      </c>
      <c r="C235" s="12">
        <f t="shared" si="27"/>
        <v>5.4646650000000001</v>
      </c>
      <c r="D235" s="4" t="s">
        <v>111</v>
      </c>
      <c r="E235" s="4" t="s">
        <v>14</v>
      </c>
      <c r="F235" s="4" t="s">
        <v>33</v>
      </c>
      <c r="G235" s="4" t="s">
        <v>34</v>
      </c>
      <c r="H235" s="4" t="s">
        <v>489</v>
      </c>
      <c r="I235" s="4">
        <v>5.3055000000000003</v>
      </c>
      <c r="J235" s="4" t="s">
        <v>331</v>
      </c>
      <c r="K235" s="4" t="s">
        <v>18</v>
      </c>
      <c r="L235">
        <v>0</v>
      </c>
      <c r="M235" s="9">
        <f t="shared" si="22"/>
        <v>6.6322453239000003</v>
      </c>
      <c r="N235">
        <v>0</v>
      </c>
      <c r="O235" s="9">
        <v>0</v>
      </c>
      <c r="P235" s="9">
        <f t="shared" si="23"/>
        <v>-6.6322453239000003</v>
      </c>
      <c r="Q235" s="16">
        <f t="shared" si="26"/>
        <v>6.6322453239000003</v>
      </c>
    </row>
    <row r="236" spans="1:17" x14ac:dyDescent="0.25">
      <c r="A236" s="3">
        <v>124805</v>
      </c>
      <c r="B236" s="4" t="s">
        <v>491</v>
      </c>
      <c r="C236" s="12">
        <f t="shared" si="27"/>
        <v>31.1266</v>
      </c>
      <c r="D236" s="4" t="s">
        <v>111</v>
      </c>
      <c r="E236" s="4" t="s">
        <v>14</v>
      </c>
      <c r="F236" s="4" t="s">
        <v>33</v>
      </c>
      <c r="G236" s="4" t="s">
        <v>34</v>
      </c>
      <c r="H236" s="4" t="s">
        <v>489</v>
      </c>
      <c r="I236" s="4">
        <v>30.22</v>
      </c>
      <c r="J236" s="4" t="s">
        <v>111</v>
      </c>
      <c r="K236" s="4" t="s">
        <v>18</v>
      </c>
      <c r="L236">
        <v>0</v>
      </c>
      <c r="M236" s="9">
        <f t="shared" si="22"/>
        <v>37.777109355999997</v>
      </c>
      <c r="N236">
        <v>0</v>
      </c>
      <c r="O236" s="9">
        <v>0</v>
      </c>
      <c r="P236" s="9">
        <f t="shared" si="23"/>
        <v>-37.777109355999997</v>
      </c>
      <c r="Q236" s="16">
        <f t="shared" si="26"/>
        <v>37.777109355999997</v>
      </c>
    </row>
    <row r="237" spans="1:17" x14ac:dyDescent="0.25">
      <c r="A237" s="3" t="s">
        <v>492</v>
      </c>
      <c r="B237" s="4" t="s">
        <v>493</v>
      </c>
      <c r="C237" s="12">
        <v>150</v>
      </c>
      <c r="D237" s="4" t="s">
        <v>242</v>
      </c>
      <c r="E237" s="4" t="s">
        <v>14</v>
      </c>
      <c r="F237" s="4" t="s">
        <v>33</v>
      </c>
      <c r="G237" s="4" t="s">
        <v>34</v>
      </c>
      <c r="H237" s="4" t="s">
        <v>494</v>
      </c>
      <c r="I237" s="4">
        <v>147</v>
      </c>
      <c r="J237" s="4" t="s">
        <v>242</v>
      </c>
      <c r="K237" s="4" t="s">
        <v>18</v>
      </c>
      <c r="L237">
        <v>0</v>
      </c>
      <c r="M237" s="9">
        <f t="shared" si="22"/>
        <v>182.04900000000001</v>
      </c>
      <c r="N237">
        <v>0</v>
      </c>
      <c r="O237" s="9">
        <v>0</v>
      </c>
      <c r="P237" s="9">
        <f t="shared" si="23"/>
        <v>-182.04900000000001</v>
      </c>
      <c r="Q237" s="16">
        <f t="shared" si="26"/>
        <v>182.04900000000001</v>
      </c>
    </row>
    <row r="238" spans="1:17" x14ac:dyDescent="0.25">
      <c r="A238" s="3">
        <v>7345215</v>
      </c>
      <c r="B238" s="4" t="s">
        <v>495</v>
      </c>
      <c r="C238" s="12">
        <f>I238*3%+I238</f>
        <v>8.8497599999999998</v>
      </c>
      <c r="D238" s="4" t="s">
        <v>111</v>
      </c>
      <c r="E238" s="4" t="s">
        <v>14</v>
      </c>
      <c r="F238" s="4" t="s">
        <v>33</v>
      </c>
      <c r="G238" s="4" t="s">
        <v>34</v>
      </c>
      <c r="H238" s="4" t="s">
        <v>489</v>
      </c>
      <c r="I238" s="4">
        <v>8.5920000000000005</v>
      </c>
      <c r="J238" s="4" t="s">
        <v>331</v>
      </c>
      <c r="K238" s="4" t="s">
        <v>18</v>
      </c>
      <c r="L238">
        <v>0</v>
      </c>
      <c r="M238" s="9">
        <f t="shared" si="22"/>
        <v>10.740599721599999</v>
      </c>
      <c r="N238">
        <v>0</v>
      </c>
      <c r="O238" s="9">
        <v>0</v>
      </c>
      <c r="P238" s="9">
        <f t="shared" si="23"/>
        <v>-10.740599721599999</v>
      </c>
      <c r="Q238" s="16">
        <f t="shared" si="26"/>
        <v>10.740599721599999</v>
      </c>
    </row>
    <row r="239" spans="1:17" x14ac:dyDescent="0.25">
      <c r="A239" s="3">
        <v>7345207</v>
      </c>
      <c r="B239" s="4" t="s">
        <v>496</v>
      </c>
      <c r="C239" s="12">
        <f t="shared" ref="C239:C241" si="28">I239*3%+I239</f>
        <v>70.9876</v>
      </c>
      <c r="D239" s="4" t="s">
        <v>111</v>
      </c>
      <c r="E239" s="4" t="s">
        <v>14</v>
      </c>
      <c r="F239" s="4" t="s">
        <v>33</v>
      </c>
      <c r="G239" s="4" t="s">
        <v>34</v>
      </c>
      <c r="H239" s="4" t="s">
        <v>489</v>
      </c>
      <c r="I239" s="4">
        <v>68.92</v>
      </c>
      <c r="J239" s="4" t="s">
        <v>111</v>
      </c>
      <c r="K239" s="4" t="s">
        <v>18</v>
      </c>
      <c r="L239">
        <v>0</v>
      </c>
      <c r="M239" s="9">
        <f t="shared" si="22"/>
        <v>86.154810615999992</v>
      </c>
      <c r="N239">
        <v>0</v>
      </c>
      <c r="O239" s="9">
        <v>0</v>
      </c>
      <c r="P239" s="9">
        <f t="shared" si="23"/>
        <v>-86.154810615999992</v>
      </c>
      <c r="Q239" s="16">
        <f t="shared" si="26"/>
        <v>86.154810615999992</v>
      </c>
    </row>
    <row r="240" spans="1:17" x14ac:dyDescent="0.25">
      <c r="A240" s="3" t="s">
        <v>497</v>
      </c>
      <c r="B240" s="4" t="s">
        <v>498</v>
      </c>
      <c r="C240" s="12">
        <f t="shared" si="28"/>
        <v>0</v>
      </c>
      <c r="D240" s="4" t="s">
        <v>111</v>
      </c>
      <c r="E240" s="4" t="s">
        <v>14</v>
      </c>
      <c r="F240" s="4" t="s">
        <v>33</v>
      </c>
      <c r="G240" s="4" t="s">
        <v>34</v>
      </c>
      <c r="H240" s="4" t="s">
        <v>489</v>
      </c>
      <c r="I240" s="4"/>
      <c r="J240" s="4" t="s">
        <v>331</v>
      </c>
      <c r="K240" s="4" t="s">
        <v>18</v>
      </c>
      <c r="L240">
        <v>0</v>
      </c>
      <c r="M240" s="9">
        <f t="shared" si="22"/>
        <v>0</v>
      </c>
      <c r="N240">
        <v>0</v>
      </c>
      <c r="O240" s="9">
        <v>0</v>
      </c>
      <c r="P240" s="9">
        <f t="shared" si="23"/>
        <v>0</v>
      </c>
      <c r="Q240" s="16">
        <f t="shared" si="26"/>
        <v>0</v>
      </c>
    </row>
    <row r="241" spans="1:17" x14ac:dyDescent="0.25">
      <c r="A241" s="3" t="s">
        <v>499</v>
      </c>
      <c r="B241" s="4" t="s">
        <v>500</v>
      </c>
      <c r="C241" s="12">
        <f t="shared" si="28"/>
        <v>90.058078840000007</v>
      </c>
      <c r="D241" s="4" t="s">
        <v>242</v>
      </c>
      <c r="E241" s="4"/>
      <c r="F241" s="4" t="s">
        <v>33</v>
      </c>
      <c r="G241" s="4" t="s">
        <v>34</v>
      </c>
      <c r="H241" s="4" t="s">
        <v>489</v>
      </c>
      <c r="I241" s="4">
        <v>87.435028000000003</v>
      </c>
      <c r="J241" s="4" t="s">
        <v>242</v>
      </c>
      <c r="K241" s="4" t="s">
        <v>18</v>
      </c>
      <c r="L241">
        <v>0</v>
      </c>
      <c r="M241" s="9">
        <f t="shared" si="22"/>
        <v>109.29988796495441</v>
      </c>
      <c r="N241">
        <v>0</v>
      </c>
      <c r="O241" s="9">
        <v>0</v>
      </c>
      <c r="P241" s="9">
        <f t="shared" si="23"/>
        <v>-109.29988796495441</v>
      </c>
      <c r="Q241" s="16">
        <f t="shared" si="26"/>
        <v>109.29988796495441</v>
      </c>
    </row>
    <row r="242" spans="1:17" x14ac:dyDescent="0.25">
      <c r="A242" s="7">
        <v>168332</v>
      </c>
      <c r="B242" s="8" t="s">
        <v>501</v>
      </c>
      <c r="C242" s="14">
        <v>28</v>
      </c>
      <c r="D242" s="8" t="s">
        <v>32</v>
      </c>
      <c r="E242" s="8" t="s">
        <v>14</v>
      </c>
      <c r="F242" s="8" t="s">
        <v>33</v>
      </c>
      <c r="G242" s="8" t="s">
        <v>34</v>
      </c>
      <c r="H242" s="8" t="s">
        <v>494</v>
      </c>
      <c r="I242" s="8">
        <v>95.33</v>
      </c>
      <c r="J242" s="8" t="s">
        <v>32</v>
      </c>
      <c r="K242" s="8" t="s">
        <v>18</v>
      </c>
      <c r="L242">
        <v>0</v>
      </c>
      <c r="M242" s="9">
        <f t="shared" si="22"/>
        <v>33.982479999999995</v>
      </c>
      <c r="N242">
        <v>0</v>
      </c>
      <c r="O242" s="9">
        <v>0</v>
      </c>
      <c r="P242" s="9">
        <f t="shared" si="23"/>
        <v>-33.982479999999995</v>
      </c>
      <c r="Q242" s="16">
        <f t="shared" si="26"/>
        <v>33.982479999999995</v>
      </c>
    </row>
    <row r="243" spans="1:17" x14ac:dyDescent="0.25">
      <c r="A243" s="7">
        <v>168432</v>
      </c>
      <c r="B243" s="8" t="s">
        <v>502</v>
      </c>
      <c r="C243" s="14">
        <v>55</v>
      </c>
      <c r="D243" s="8" t="s">
        <v>118</v>
      </c>
      <c r="E243" s="8" t="s">
        <v>14</v>
      </c>
      <c r="F243" s="8" t="s">
        <v>33</v>
      </c>
      <c r="G243" s="8" t="s">
        <v>34</v>
      </c>
      <c r="H243" s="8" t="s">
        <v>494</v>
      </c>
      <c r="I243" s="8">
        <v>88.62</v>
      </c>
      <c r="J243" s="8" t="s">
        <v>118</v>
      </c>
      <c r="K243" s="8" t="s">
        <v>18</v>
      </c>
      <c r="L243">
        <v>0</v>
      </c>
      <c r="M243" s="9">
        <f t="shared" si="22"/>
        <v>66.751300000000001</v>
      </c>
      <c r="N243">
        <v>0</v>
      </c>
      <c r="O243" s="9">
        <v>0</v>
      </c>
      <c r="P243" s="9">
        <f t="shared" si="23"/>
        <v>-66.751300000000001</v>
      </c>
      <c r="Q243" s="16">
        <f t="shared" si="26"/>
        <v>66.751300000000001</v>
      </c>
    </row>
    <row r="244" spans="1:17" x14ac:dyDescent="0.25">
      <c r="A244" s="3">
        <v>7345176</v>
      </c>
      <c r="B244" s="4" t="s">
        <v>503</v>
      </c>
      <c r="C244" s="12">
        <f>I244*3%+I244</f>
        <v>10.03953772</v>
      </c>
      <c r="D244" s="4" t="s">
        <v>504</v>
      </c>
      <c r="E244" s="4" t="s">
        <v>14</v>
      </c>
      <c r="F244" s="4" t="s">
        <v>33</v>
      </c>
      <c r="G244" s="4" t="s">
        <v>34</v>
      </c>
      <c r="H244" s="4" t="s">
        <v>505</v>
      </c>
      <c r="I244" s="4">
        <v>9.7471239999999995</v>
      </c>
      <c r="J244" s="4" t="s">
        <v>331</v>
      </c>
      <c r="K244" s="4" t="s">
        <v>18</v>
      </c>
      <c r="L244">
        <v>0</v>
      </c>
      <c r="M244" s="9">
        <f t="shared" si="22"/>
        <v>12.184585349255199</v>
      </c>
      <c r="N244">
        <v>0</v>
      </c>
      <c r="O244" s="9">
        <v>0</v>
      </c>
      <c r="P244" s="9">
        <f t="shared" si="23"/>
        <v>-12.184585349255199</v>
      </c>
      <c r="Q244" s="16">
        <f t="shared" si="26"/>
        <v>12.184585349255199</v>
      </c>
    </row>
    <row r="245" spans="1:17" x14ac:dyDescent="0.25">
      <c r="A245" s="3">
        <v>7345476</v>
      </c>
      <c r="B245" s="4" t="s">
        <v>506</v>
      </c>
      <c r="C245" s="12">
        <f>I245*3%+I245</f>
        <v>10.03953772</v>
      </c>
      <c r="D245" s="4" t="s">
        <v>504</v>
      </c>
      <c r="E245" s="4" t="s">
        <v>14</v>
      </c>
      <c r="F245" s="4" t="s">
        <v>33</v>
      </c>
      <c r="G245" s="4" t="s">
        <v>34</v>
      </c>
      <c r="H245" s="4" t="s">
        <v>505</v>
      </c>
      <c r="I245" s="4">
        <v>9.7471239999999995</v>
      </c>
      <c r="J245" s="4" t="s">
        <v>331</v>
      </c>
      <c r="K245" s="4" t="s">
        <v>18</v>
      </c>
      <c r="L245">
        <v>0</v>
      </c>
      <c r="M245" s="9">
        <f t="shared" si="22"/>
        <v>12.184585349255199</v>
      </c>
      <c r="N245">
        <v>0</v>
      </c>
      <c r="O245" s="9">
        <v>0</v>
      </c>
      <c r="P245" s="9">
        <f t="shared" si="23"/>
        <v>-12.184585349255199</v>
      </c>
      <c r="Q245" s="16">
        <f t="shared" si="26"/>
        <v>12.184585349255199</v>
      </c>
    </row>
    <row r="246" spans="1:17" x14ac:dyDescent="0.25">
      <c r="A246" s="3">
        <v>1677618</v>
      </c>
      <c r="B246" s="4" t="s">
        <v>507</v>
      </c>
      <c r="C246" s="12">
        <v>25</v>
      </c>
      <c r="D246" s="4" t="s">
        <v>32</v>
      </c>
      <c r="E246" s="4" t="s">
        <v>14</v>
      </c>
      <c r="F246" s="4" t="s">
        <v>33</v>
      </c>
      <c r="G246" s="4" t="s">
        <v>34</v>
      </c>
      <c r="H246" s="4" t="s">
        <v>494</v>
      </c>
      <c r="I246" s="4">
        <v>40</v>
      </c>
      <c r="J246" s="4" t="s">
        <v>32</v>
      </c>
      <c r="K246" s="4" t="s">
        <v>18</v>
      </c>
      <c r="L246">
        <v>0</v>
      </c>
      <c r="M246" s="9">
        <f t="shared" si="22"/>
        <v>30.3415</v>
      </c>
      <c r="N246">
        <v>0</v>
      </c>
      <c r="O246" s="9">
        <v>0</v>
      </c>
      <c r="P246" s="9">
        <f t="shared" si="23"/>
        <v>-30.3415</v>
      </c>
      <c r="Q246" s="16">
        <f t="shared" si="26"/>
        <v>30.3415</v>
      </c>
    </row>
    <row r="247" spans="1:17" x14ac:dyDescent="0.25">
      <c r="A247" s="3">
        <v>1677636</v>
      </c>
      <c r="B247" s="4" t="s">
        <v>508</v>
      </c>
      <c r="C247" s="12">
        <v>42</v>
      </c>
      <c r="D247" s="4" t="s">
        <v>32</v>
      </c>
      <c r="E247" s="4" t="s">
        <v>14</v>
      </c>
      <c r="F247" s="4" t="s">
        <v>33</v>
      </c>
      <c r="G247" s="4" t="s">
        <v>34</v>
      </c>
      <c r="H247" s="4" t="s">
        <v>494</v>
      </c>
      <c r="I247" s="4">
        <v>70</v>
      </c>
      <c r="J247" s="4" t="s">
        <v>32</v>
      </c>
      <c r="K247" s="4" t="s">
        <v>18</v>
      </c>
      <c r="L247">
        <v>0</v>
      </c>
      <c r="M247" s="9">
        <f t="shared" si="22"/>
        <v>50.97372</v>
      </c>
      <c r="N247">
        <v>0</v>
      </c>
      <c r="O247" s="9">
        <v>0</v>
      </c>
      <c r="P247" s="9">
        <f t="shared" si="23"/>
        <v>-50.97372</v>
      </c>
      <c r="Q247" s="16">
        <f t="shared" si="26"/>
        <v>50.97372</v>
      </c>
    </row>
    <row r="248" spans="1:17" x14ac:dyDescent="0.25">
      <c r="A248" s="3">
        <v>1677736</v>
      </c>
      <c r="B248" s="4" t="s">
        <v>509</v>
      </c>
      <c r="C248" s="12">
        <v>52</v>
      </c>
      <c r="D248" s="4" t="s">
        <v>118</v>
      </c>
      <c r="E248" s="4" t="s">
        <v>14</v>
      </c>
      <c r="F248" s="4" t="s">
        <v>33</v>
      </c>
      <c r="G248" s="4" t="s">
        <v>34</v>
      </c>
      <c r="H248" s="4" t="s">
        <v>494</v>
      </c>
      <c r="I248" s="4">
        <v>120</v>
      </c>
      <c r="J248" s="4" t="s">
        <v>118</v>
      </c>
      <c r="K248" s="4" t="s">
        <v>18</v>
      </c>
      <c r="L248">
        <v>0</v>
      </c>
      <c r="M248" s="9">
        <f t="shared" si="22"/>
        <v>63.110320000000002</v>
      </c>
      <c r="N248">
        <v>0</v>
      </c>
      <c r="O248" s="9">
        <v>0</v>
      </c>
      <c r="P248" s="9">
        <f t="shared" si="23"/>
        <v>-63.110320000000002</v>
      </c>
      <c r="Q248" s="16">
        <f t="shared" si="26"/>
        <v>63.110320000000002</v>
      </c>
    </row>
    <row r="249" spans="1:17" x14ac:dyDescent="0.25">
      <c r="A249" s="3">
        <v>1677718</v>
      </c>
      <c r="B249" s="4" t="s">
        <v>510</v>
      </c>
      <c r="C249" s="12">
        <v>28</v>
      </c>
      <c r="D249" s="4" t="s">
        <v>118</v>
      </c>
      <c r="E249" s="4" t="s">
        <v>14</v>
      </c>
      <c r="F249" s="4" t="s">
        <v>33</v>
      </c>
      <c r="G249" s="4" t="s">
        <v>34</v>
      </c>
      <c r="H249" s="4" t="s">
        <v>494</v>
      </c>
      <c r="I249" s="4">
        <v>68</v>
      </c>
      <c r="J249" s="4" t="s">
        <v>118</v>
      </c>
      <c r="K249" s="4" t="s">
        <v>18</v>
      </c>
      <c r="L249">
        <v>0</v>
      </c>
      <c r="M249" s="9">
        <f t="shared" si="22"/>
        <v>33.982479999999995</v>
      </c>
      <c r="N249">
        <v>0</v>
      </c>
      <c r="O249" s="9">
        <v>0</v>
      </c>
      <c r="P249" s="9">
        <f t="shared" si="23"/>
        <v>-33.982479999999995</v>
      </c>
      <c r="Q249" s="16">
        <f t="shared" si="26"/>
        <v>33.982479999999995</v>
      </c>
    </row>
    <row r="250" spans="1:17" x14ac:dyDescent="0.25">
      <c r="A250" s="3">
        <v>1675716</v>
      </c>
      <c r="B250" s="4" t="s">
        <v>511</v>
      </c>
      <c r="C250" s="12">
        <f>I250*3%+I250</f>
        <v>95.645799999999994</v>
      </c>
      <c r="D250" s="4" t="s">
        <v>242</v>
      </c>
      <c r="E250" s="4" t="s">
        <v>14</v>
      </c>
      <c r="F250" s="4" t="s">
        <v>33</v>
      </c>
      <c r="G250" s="4" t="s">
        <v>34</v>
      </c>
      <c r="H250" s="4" t="s">
        <v>494</v>
      </c>
      <c r="I250" s="4">
        <v>92.86</v>
      </c>
      <c r="J250" s="4" t="s">
        <v>242</v>
      </c>
      <c r="K250" s="4" t="s">
        <v>18</v>
      </c>
      <c r="L250">
        <v>0</v>
      </c>
      <c r="M250" s="9">
        <f t="shared" si="22"/>
        <v>116.08148162799999</v>
      </c>
      <c r="N250">
        <v>0</v>
      </c>
      <c r="O250" s="9">
        <v>0</v>
      </c>
      <c r="P250" s="9">
        <f t="shared" si="23"/>
        <v>-116.08148162799999</v>
      </c>
      <c r="Q250" s="16">
        <f t="shared" si="26"/>
        <v>116.08148162799999</v>
      </c>
    </row>
    <row r="251" spans="1:17" x14ac:dyDescent="0.25">
      <c r="A251" s="7">
        <v>1675732</v>
      </c>
      <c r="B251" s="8" t="s">
        <v>512</v>
      </c>
      <c r="C251" s="14">
        <f t="shared" ref="C251:C273" si="29">I251*3%+I251</f>
        <v>90.7291259</v>
      </c>
      <c r="D251" s="8" t="s">
        <v>32</v>
      </c>
      <c r="E251" s="8" t="s">
        <v>14</v>
      </c>
      <c r="F251" s="8" t="s">
        <v>33</v>
      </c>
      <c r="G251" s="8" t="s">
        <v>34</v>
      </c>
      <c r="H251" s="8" t="s">
        <v>494</v>
      </c>
      <c r="I251" s="8">
        <v>88.086529999999996</v>
      </c>
      <c r="J251" s="8" t="s">
        <v>32</v>
      </c>
      <c r="K251" s="8" t="s">
        <v>18</v>
      </c>
      <c r="L251">
        <v>0</v>
      </c>
      <c r="M251" s="9">
        <f t="shared" si="22"/>
        <v>110.114310939794</v>
      </c>
      <c r="N251">
        <v>0</v>
      </c>
      <c r="O251" s="9">
        <v>0</v>
      </c>
      <c r="P251" s="9">
        <f t="shared" si="23"/>
        <v>-110.114310939794</v>
      </c>
      <c r="Q251" s="16">
        <f t="shared" si="26"/>
        <v>110.114310939794</v>
      </c>
    </row>
    <row r="252" spans="1:17" x14ac:dyDescent="0.25">
      <c r="A252" s="7">
        <v>1675832</v>
      </c>
      <c r="B252" s="8" t="s">
        <v>513</v>
      </c>
      <c r="C252" s="14">
        <f t="shared" si="29"/>
        <v>86.281719799999991</v>
      </c>
      <c r="D252" s="8" t="s">
        <v>118</v>
      </c>
      <c r="E252" s="8" t="s">
        <v>14</v>
      </c>
      <c r="F252" s="8" t="s">
        <v>33</v>
      </c>
      <c r="G252" s="8" t="s">
        <v>34</v>
      </c>
      <c r="H252" s="8" t="s">
        <v>494</v>
      </c>
      <c r="I252" s="8">
        <v>83.768659999999997</v>
      </c>
      <c r="J252" s="8" t="s">
        <v>118</v>
      </c>
      <c r="K252" s="8" t="s">
        <v>18</v>
      </c>
      <c r="L252">
        <v>0</v>
      </c>
      <c r="M252" s="9">
        <f t="shared" si="22"/>
        <v>104.71667205246798</v>
      </c>
      <c r="N252">
        <v>0</v>
      </c>
      <c r="O252" s="9">
        <v>0</v>
      </c>
      <c r="P252" s="9">
        <f t="shared" si="23"/>
        <v>-104.71667205246798</v>
      </c>
      <c r="Q252" s="16">
        <f t="shared" si="26"/>
        <v>104.71667205246798</v>
      </c>
    </row>
    <row r="253" spans="1:17" x14ac:dyDescent="0.25">
      <c r="A253" s="7">
        <v>1781150</v>
      </c>
      <c r="B253" s="8" t="s">
        <v>514</v>
      </c>
      <c r="C253" s="14">
        <f t="shared" si="29"/>
        <v>3.7966830000000003</v>
      </c>
      <c r="D253" s="8" t="s">
        <v>191</v>
      </c>
      <c r="E253" s="8" t="s">
        <v>14</v>
      </c>
      <c r="F253" s="8" t="s">
        <v>33</v>
      </c>
      <c r="G253" s="8" t="s">
        <v>34</v>
      </c>
      <c r="H253" s="8" t="s">
        <v>515</v>
      </c>
      <c r="I253" s="8">
        <v>3.6861000000000002</v>
      </c>
      <c r="J253" s="8" t="s">
        <v>379</v>
      </c>
      <c r="K253" s="8" t="s">
        <v>18</v>
      </c>
      <c r="L253">
        <v>0</v>
      </c>
      <c r="M253" s="9">
        <f t="shared" si="22"/>
        <v>4.60788228978</v>
      </c>
      <c r="N253">
        <v>0</v>
      </c>
      <c r="O253" s="9">
        <v>0</v>
      </c>
      <c r="P253" s="9">
        <f t="shared" si="23"/>
        <v>-4.60788228978</v>
      </c>
      <c r="Q253" s="16">
        <f t="shared" si="26"/>
        <v>4.60788228978</v>
      </c>
    </row>
    <row r="254" spans="1:17" x14ac:dyDescent="0.25">
      <c r="A254" s="3">
        <v>76701025002</v>
      </c>
      <c r="B254" s="4" t="s">
        <v>516</v>
      </c>
      <c r="C254" s="12">
        <f t="shared" si="29"/>
        <v>40.977262499999995</v>
      </c>
      <c r="D254" s="4" t="s">
        <v>13</v>
      </c>
      <c r="E254" s="4" t="s">
        <v>14</v>
      </c>
      <c r="F254" s="4" t="s">
        <v>33</v>
      </c>
      <c r="G254" s="4" t="s">
        <v>34</v>
      </c>
      <c r="H254" s="4" t="s">
        <v>517</v>
      </c>
      <c r="I254" s="4">
        <v>39.783749999999998</v>
      </c>
      <c r="J254" s="4" t="s">
        <v>13</v>
      </c>
      <c r="K254" s="4" t="s">
        <v>18</v>
      </c>
      <c r="L254">
        <v>0</v>
      </c>
      <c r="M254" s="9">
        <f t="shared" si="22"/>
        <v>49.732464405749994</v>
      </c>
      <c r="N254">
        <v>0</v>
      </c>
      <c r="O254" s="9">
        <v>0</v>
      </c>
      <c r="P254" s="9">
        <f t="shared" si="23"/>
        <v>-49.732464405749994</v>
      </c>
      <c r="Q254" s="16">
        <f t="shared" si="26"/>
        <v>49.732464405749994</v>
      </c>
    </row>
    <row r="255" spans="1:17" x14ac:dyDescent="0.25">
      <c r="A255" s="3">
        <v>76701061001</v>
      </c>
      <c r="B255" s="4" t="s">
        <v>518</v>
      </c>
      <c r="C255" s="12">
        <f t="shared" si="29"/>
        <v>0.44615995000000003</v>
      </c>
      <c r="D255" s="4" t="s">
        <v>13</v>
      </c>
      <c r="E255" s="4" t="s">
        <v>14</v>
      </c>
      <c r="F255" s="4" t="s">
        <v>33</v>
      </c>
      <c r="G255" s="4" t="s">
        <v>34</v>
      </c>
      <c r="H255" s="4" t="s">
        <v>519</v>
      </c>
      <c r="I255" s="4">
        <v>0.43316500000000002</v>
      </c>
      <c r="J255" s="4" t="s">
        <v>13</v>
      </c>
      <c r="K255" s="4" t="s">
        <v>18</v>
      </c>
      <c r="L255">
        <v>0</v>
      </c>
      <c r="M255" s="9">
        <f t="shared" si="22"/>
        <v>0.54148648491700002</v>
      </c>
      <c r="N255">
        <v>0</v>
      </c>
      <c r="O255" s="9">
        <v>0</v>
      </c>
      <c r="P255" s="9">
        <f t="shared" si="23"/>
        <v>-0.54148648491700002</v>
      </c>
      <c r="Q255" s="16">
        <f t="shared" si="26"/>
        <v>0.54148648491700002</v>
      </c>
    </row>
    <row r="256" spans="1:17" x14ac:dyDescent="0.25">
      <c r="A256" s="3">
        <v>76701082001</v>
      </c>
      <c r="B256" s="4" t="s">
        <v>520</v>
      </c>
      <c r="C256" s="12">
        <f t="shared" si="29"/>
        <v>83.375070100000002</v>
      </c>
      <c r="D256" s="4" t="s">
        <v>13</v>
      </c>
      <c r="E256" s="4" t="s">
        <v>14</v>
      </c>
      <c r="F256" s="4" t="s">
        <v>33</v>
      </c>
      <c r="G256" s="4" t="s">
        <v>34</v>
      </c>
      <c r="H256" s="4" t="s">
        <v>517</v>
      </c>
      <c r="I256" s="4">
        <v>80.946669999999997</v>
      </c>
      <c r="J256" s="4" t="s">
        <v>13</v>
      </c>
      <c r="K256" s="4" t="s">
        <v>18</v>
      </c>
      <c r="L256">
        <v>0</v>
      </c>
      <c r="M256" s="9">
        <f t="shared" si="22"/>
        <v>101.188987577566</v>
      </c>
      <c r="N256">
        <v>0</v>
      </c>
      <c r="O256" s="9">
        <v>0</v>
      </c>
      <c r="P256" s="9">
        <f t="shared" si="23"/>
        <v>-101.188987577566</v>
      </c>
      <c r="Q256" s="16">
        <f t="shared" si="26"/>
        <v>101.188987577566</v>
      </c>
    </row>
    <row r="257" spans="1:17" x14ac:dyDescent="0.25">
      <c r="A257" s="3">
        <v>501199</v>
      </c>
      <c r="B257" s="4" t="s">
        <v>521</v>
      </c>
      <c r="C257" s="12">
        <f t="shared" si="29"/>
        <v>90.104399999999998</v>
      </c>
      <c r="D257" s="4" t="s">
        <v>191</v>
      </c>
      <c r="E257" s="4"/>
      <c r="F257" s="4" t="s">
        <v>33</v>
      </c>
      <c r="G257" s="4" t="s">
        <v>34</v>
      </c>
      <c r="H257" s="4" t="s">
        <v>517</v>
      </c>
      <c r="I257" s="4">
        <v>87.48</v>
      </c>
      <c r="J257" s="4" t="s">
        <v>191</v>
      </c>
      <c r="K257" s="4" t="s">
        <v>18</v>
      </c>
      <c r="L257">
        <v>0</v>
      </c>
      <c r="M257" s="9">
        <f t="shared" si="22"/>
        <v>109.35610610399999</v>
      </c>
      <c r="N257">
        <v>0</v>
      </c>
      <c r="O257" s="9">
        <v>0</v>
      </c>
      <c r="P257" s="9">
        <f t="shared" si="23"/>
        <v>-109.35610610399999</v>
      </c>
      <c r="Q257" s="16">
        <f t="shared" si="26"/>
        <v>109.35610610399999</v>
      </c>
    </row>
    <row r="258" spans="1:17" x14ac:dyDescent="0.25">
      <c r="A258" s="3">
        <v>76701065010</v>
      </c>
      <c r="B258" s="4" t="s">
        <v>522</v>
      </c>
      <c r="C258" s="12">
        <f t="shared" si="29"/>
        <v>238.08335875999998</v>
      </c>
      <c r="D258" s="4" t="s">
        <v>13</v>
      </c>
      <c r="E258" s="4" t="s">
        <v>14</v>
      </c>
      <c r="F258" s="4" t="s">
        <v>33</v>
      </c>
      <c r="G258" s="4" t="s">
        <v>34</v>
      </c>
      <c r="H258" s="4" t="s">
        <v>519</v>
      </c>
      <c r="I258" s="4">
        <v>231.14889199999999</v>
      </c>
      <c r="J258" s="4" t="s">
        <v>383</v>
      </c>
      <c r="K258" s="4" t="s">
        <v>18</v>
      </c>
      <c r="L258">
        <v>0</v>
      </c>
      <c r="M258" s="9">
        <f t="shared" si="22"/>
        <v>288.95224919266155</v>
      </c>
      <c r="N258">
        <v>0</v>
      </c>
      <c r="O258" s="9">
        <v>0</v>
      </c>
      <c r="P258" s="9">
        <f t="shared" si="23"/>
        <v>-288.95224919266155</v>
      </c>
      <c r="Q258" s="16">
        <f t="shared" si="26"/>
        <v>288.95224919266155</v>
      </c>
    </row>
    <row r="259" spans="1:17" x14ac:dyDescent="0.25">
      <c r="A259" s="3">
        <v>76701065009</v>
      </c>
      <c r="B259" s="4" t="s">
        <v>523</v>
      </c>
      <c r="C259" s="12">
        <f t="shared" si="29"/>
        <v>115.26084396</v>
      </c>
      <c r="D259" s="4" t="s">
        <v>13</v>
      </c>
      <c r="E259" s="4" t="s">
        <v>14</v>
      </c>
      <c r="F259" s="4" t="s">
        <v>33</v>
      </c>
      <c r="G259" s="4" t="s">
        <v>34</v>
      </c>
      <c r="H259" s="4" t="s">
        <v>519</v>
      </c>
      <c r="I259" s="4">
        <v>111.90373200000001</v>
      </c>
      <c r="J259" s="4" t="s">
        <v>383</v>
      </c>
      <c r="K259" s="4" t="s">
        <v>18</v>
      </c>
      <c r="L259">
        <v>0</v>
      </c>
      <c r="M259" s="9">
        <f t="shared" ref="M259:M322" si="30">C259*1.21366</f>
        <v>139.88747588049361</v>
      </c>
      <c r="N259">
        <v>0</v>
      </c>
      <c r="O259" s="9">
        <v>0</v>
      </c>
      <c r="P259" s="9">
        <f t="shared" ref="P259:P322" si="31">O259-M259</f>
        <v>-139.88747588049361</v>
      </c>
      <c r="Q259" s="16">
        <f t="shared" si="26"/>
        <v>139.88747588049361</v>
      </c>
    </row>
    <row r="260" spans="1:17" x14ac:dyDescent="0.25">
      <c r="A260" s="3">
        <v>76701065008</v>
      </c>
      <c r="B260" s="4" t="s">
        <v>524</v>
      </c>
      <c r="C260" s="12">
        <f t="shared" si="29"/>
        <v>92.947358620000003</v>
      </c>
      <c r="D260" s="4" t="s">
        <v>13</v>
      </c>
      <c r="E260" s="4" t="s">
        <v>14</v>
      </c>
      <c r="F260" s="4" t="s">
        <v>33</v>
      </c>
      <c r="G260" s="4" t="s">
        <v>34</v>
      </c>
      <c r="H260" s="4" t="s">
        <v>519</v>
      </c>
      <c r="I260" s="4">
        <v>90.240154000000004</v>
      </c>
      <c r="J260" s="4" t="s">
        <v>383</v>
      </c>
      <c r="K260" s="4" t="s">
        <v>18</v>
      </c>
      <c r="L260">
        <v>0</v>
      </c>
      <c r="M260" s="9">
        <f t="shared" si="30"/>
        <v>112.8064912627492</v>
      </c>
      <c r="N260">
        <v>0</v>
      </c>
      <c r="O260" s="9">
        <v>0</v>
      </c>
      <c r="P260" s="9">
        <f t="shared" si="31"/>
        <v>-112.8064912627492</v>
      </c>
      <c r="Q260" s="16">
        <f t="shared" si="26"/>
        <v>112.8064912627492</v>
      </c>
    </row>
    <row r="261" spans="1:17" x14ac:dyDescent="0.25">
      <c r="A261" s="3">
        <v>76626015001</v>
      </c>
      <c r="B261" s="4" t="s">
        <v>525</v>
      </c>
      <c r="C261" s="12">
        <f t="shared" si="29"/>
        <v>12.122378999999999</v>
      </c>
      <c r="D261" s="4" t="s">
        <v>191</v>
      </c>
      <c r="E261" s="4" t="s">
        <v>14</v>
      </c>
      <c r="F261" s="4" t="s">
        <v>33</v>
      </c>
      <c r="G261" s="4" t="s">
        <v>34</v>
      </c>
      <c r="H261" s="4" t="s">
        <v>526</v>
      </c>
      <c r="I261" s="4">
        <v>11.769299999999999</v>
      </c>
      <c r="J261" s="4" t="s">
        <v>527</v>
      </c>
      <c r="K261" s="4" t="s">
        <v>18</v>
      </c>
      <c r="L261">
        <v>0</v>
      </c>
      <c r="M261" s="9">
        <f t="shared" si="30"/>
        <v>14.712446497139998</v>
      </c>
      <c r="N261">
        <v>0</v>
      </c>
      <c r="O261" s="9">
        <v>0</v>
      </c>
      <c r="P261" s="9">
        <f t="shared" si="31"/>
        <v>-14.712446497139998</v>
      </c>
      <c r="Q261" s="16">
        <f t="shared" si="26"/>
        <v>14.712446497139998</v>
      </c>
    </row>
    <row r="262" spans="1:17" x14ac:dyDescent="0.25">
      <c r="A262" s="3">
        <v>76702181003</v>
      </c>
      <c r="B262" s="4" t="s">
        <v>528</v>
      </c>
      <c r="C262" s="12">
        <f t="shared" si="29"/>
        <v>540.66646700000001</v>
      </c>
      <c r="D262" s="4" t="s">
        <v>191</v>
      </c>
      <c r="E262" s="4" t="s">
        <v>14</v>
      </c>
      <c r="F262" s="4" t="s">
        <v>33</v>
      </c>
      <c r="G262" s="4" t="s">
        <v>34</v>
      </c>
      <c r="H262" s="4" t="s">
        <v>392</v>
      </c>
      <c r="I262" s="4">
        <v>524.91890000000001</v>
      </c>
      <c r="J262" s="4" t="s">
        <v>191</v>
      </c>
      <c r="K262" s="4" t="s">
        <v>18</v>
      </c>
      <c r="L262">
        <v>0</v>
      </c>
      <c r="M262" s="9">
        <f t="shared" si="30"/>
        <v>656.18526433922</v>
      </c>
      <c r="N262">
        <v>0</v>
      </c>
      <c r="O262" s="9">
        <v>0</v>
      </c>
      <c r="P262" s="9">
        <f t="shared" si="31"/>
        <v>-656.18526433922</v>
      </c>
      <c r="Q262" s="16">
        <f t="shared" si="26"/>
        <v>656.18526433922</v>
      </c>
    </row>
    <row r="263" spans="1:17" x14ac:dyDescent="0.25">
      <c r="A263" s="3">
        <v>76628020006</v>
      </c>
      <c r="B263" s="4" t="s">
        <v>529</v>
      </c>
      <c r="C263" s="12">
        <f t="shared" si="29"/>
        <v>0</v>
      </c>
      <c r="D263" s="4" t="s">
        <v>191</v>
      </c>
      <c r="E263" s="4" t="s">
        <v>14</v>
      </c>
      <c r="F263" s="4" t="s">
        <v>33</v>
      </c>
      <c r="G263" s="4" t="s">
        <v>34</v>
      </c>
      <c r="H263" s="4" t="s">
        <v>526</v>
      </c>
      <c r="I263" s="4"/>
      <c r="J263" s="4" t="s">
        <v>527</v>
      </c>
      <c r="K263" s="4" t="s">
        <v>18</v>
      </c>
      <c r="L263">
        <v>0</v>
      </c>
      <c r="M263" s="9">
        <f t="shared" si="30"/>
        <v>0</v>
      </c>
      <c r="N263">
        <v>0</v>
      </c>
      <c r="O263" s="9">
        <v>0</v>
      </c>
      <c r="P263" s="9">
        <f t="shared" si="31"/>
        <v>0</v>
      </c>
      <c r="Q263" s="16">
        <f t="shared" si="26"/>
        <v>0</v>
      </c>
    </row>
    <row r="264" spans="1:17" x14ac:dyDescent="0.25">
      <c r="A264" s="3">
        <v>76613320021</v>
      </c>
      <c r="B264" s="4" t="s">
        <v>530</v>
      </c>
      <c r="C264" s="12">
        <f t="shared" si="29"/>
        <v>801.94770000000005</v>
      </c>
      <c r="D264" s="4" t="s">
        <v>191</v>
      </c>
      <c r="E264" s="4" t="s">
        <v>14</v>
      </c>
      <c r="F264" s="4" t="s">
        <v>33</v>
      </c>
      <c r="G264" s="4" t="s">
        <v>34</v>
      </c>
      <c r="H264" s="4" t="s">
        <v>526</v>
      </c>
      <c r="I264" s="4">
        <v>778.59</v>
      </c>
      <c r="J264" s="4" t="s">
        <v>191</v>
      </c>
      <c r="K264" s="4" t="s">
        <v>18</v>
      </c>
      <c r="L264">
        <v>0</v>
      </c>
      <c r="M264" s="9">
        <f t="shared" si="30"/>
        <v>973.29184558200006</v>
      </c>
      <c r="N264">
        <v>0</v>
      </c>
      <c r="O264" s="9">
        <v>0</v>
      </c>
      <c r="P264" s="9">
        <f t="shared" si="31"/>
        <v>-973.29184558200006</v>
      </c>
      <c r="Q264" s="16">
        <f t="shared" si="26"/>
        <v>973.29184558200006</v>
      </c>
    </row>
    <row r="265" spans="1:17" x14ac:dyDescent="0.25">
      <c r="A265" s="3">
        <v>76627020011</v>
      </c>
      <c r="B265" s="4" t="s">
        <v>531</v>
      </c>
      <c r="C265" s="12">
        <f t="shared" si="29"/>
        <v>13.10179673</v>
      </c>
      <c r="D265" s="4" t="s">
        <v>191</v>
      </c>
      <c r="E265" s="4" t="s">
        <v>14</v>
      </c>
      <c r="F265" s="4" t="s">
        <v>33</v>
      </c>
      <c r="G265" s="4" t="s">
        <v>34</v>
      </c>
      <c r="H265" s="4" t="s">
        <v>526</v>
      </c>
      <c r="I265" s="4">
        <v>12.720191</v>
      </c>
      <c r="J265" s="4" t="s">
        <v>527</v>
      </c>
      <c r="K265" s="4" t="s">
        <v>18</v>
      </c>
      <c r="L265">
        <v>0</v>
      </c>
      <c r="M265" s="9">
        <f t="shared" si="30"/>
        <v>15.9011266193318</v>
      </c>
      <c r="N265">
        <v>0</v>
      </c>
      <c r="O265" s="9">
        <v>0</v>
      </c>
      <c r="P265" s="9">
        <f t="shared" si="31"/>
        <v>-15.9011266193318</v>
      </c>
      <c r="Q265" s="16">
        <f t="shared" si="26"/>
        <v>15.9011266193318</v>
      </c>
    </row>
    <row r="266" spans="1:17" x14ac:dyDescent="0.25">
      <c r="A266" s="3">
        <v>76627021005</v>
      </c>
      <c r="B266" s="4" t="s">
        <v>532</v>
      </c>
      <c r="C266" s="12">
        <f t="shared" si="29"/>
        <v>0</v>
      </c>
      <c r="D266" s="4" t="s">
        <v>191</v>
      </c>
      <c r="E266" s="4" t="s">
        <v>14</v>
      </c>
      <c r="F266" s="4" t="s">
        <v>33</v>
      </c>
      <c r="G266" s="4" t="s">
        <v>34</v>
      </c>
      <c r="H266" s="4" t="s">
        <v>526</v>
      </c>
      <c r="I266" s="4"/>
      <c r="J266" s="4" t="s">
        <v>191</v>
      </c>
      <c r="K266" s="4" t="s">
        <v>18</v>
      </c>
      <c r="L266">
        <v>0</v>
      </c>
      <c r="M266" s="9">
        <f t="shared" si="30"/>
        <v>0</v>
      </c>
      <c r="N266">
        <v>0</v>
      </c>
      <c r="O266" s="9">
        <v>0</v>
      </c>
      <c r="P266" s="9">
        <f t="shared" si="31"/>
        <v>0</v>
      </c>
      <c r="Q266" s="16">
        <f t="shared" si="26"/>
        <v>0</v>
      </c>
    </row>
    <row r="267" spans="1:17" x14ac:dyDescent="0.25">
      <c r="A267" s="3">
        <v>76701090038</v>
      </c>
      <c r="B267" s="4" t="s">
        <v>533</v>
      </c>
      <c r="C267" s="12">
        <f t="shared" si="29"/>
        <v>422.34429</v>
      </c>
      <c r="D267" s="4" t="s">
        <v>191</v>
      </c>
      <c r="E267" s="4" t="s">
        <v>14</v>
      </c>
      <c r="F267" s="4" t="s">
        <v>33</v>
      </c>
      <c r="G267" s="4" t="s">
        <v>34</v>
      </c>
      <c r="H267" s="4" t="s">
        <v>392</v>
      </c>
      <c r="I267" s="4">
        <v>410.04300000000001</v>
      </c>
      <c r="J267" s="4" t="s">
        <v>191</v>
      </c>
      <c r="K267" s="4" t="s">
        <v>18</v>
      </c>
      <c r="L267">
        <v>0</v>
      </c>
      <c r="M267" s="9">
        <f t="shared" si="30"/>
        <v>512.58237100140002</v>
      </c>
      <c r="N267">
        <v>0</v>
      </c>
      <c r="O267" s="9">
        <v>0</v>
      </c>
      <c r="P267" s="9">
        <f t="shared" si="31"/>
        <v>-512.58237100140002</v>
      </c>
      <c r="Q267" s="16">
        <f t="shared" si="26"/>
        <v>512.58237100140002</v>
      </c>
    </row>
    <row r="268" spans="1:17" x14ac:dyDescent="0.25">
      <c r="A268" s="3">
        <v>76701090013</v>
      </c>
      <c r="B268" s="4" t="s">
        <v>534</v>
      </c>
      <c r="C268" s="12">
        <f t="shared" si="29"/>
        <v>16.37997773</v>
      </c>
      <c r="D268" s="4" t="s">
        <v>191</v>
      </c>
      <c r="E268" s="4" t="s">
        <v>14</v>
      </c>
      <c r="F268" s="4" t="s">
        <v>33</v>
      </c>
      <c r="G268" s="4" t="s">
        <v>34</v>
      </c>
      <c r="H268" s="4" t="s">
        <v>392</v>
      </c>
      <c r="I268" s="4">
        <v>15.902891</v>
      </c>
      <c r="J268" s="4" t="s">
        <v>379</v>
      </c>
      <c r="K268" s="4" t="s">
        <v>18</v>
      </c>
      <c r="L268">
        <v>0</v>
      </c>
      <c r="M268" s="9">
        <f t="shared" si="30"/>
        <v>19.879723771791799</v>
      </c>
      <c r="N268">
        <v>0</v>
      </c>
      <c r="O268" s="9">
        <v>0</v>
      </c>
      <c r="P268" s="9">
        <f t="shared" si="31"/>
        <v>-19.879723771791799</v>
      </c>
      <c r="Q268" s="16">
        <f t="shared" si="26"/>
        <v>19.879723771791799</v>
      </c>
    </row>
    <row r="269" spans="1:17" x14ac:dyDescent="0.25">
      <c r="A269" s="3">
        <v>76701090051</v>
      </c>
      <c r="B269" s="4" t="s">
        <v>535</v>
      </c>
      <c r="C269" s="12">
        <f t="shared" si="29"/>
        <v>101.25863977</v>
      </c>
      <c r="D269" s="4" t="s">
        <v>13</v>
      </c>
      <c r="E269" s="4" t="s">
        <v>14</v>
      </c>
      <c r="F269" s="4" t="s">
        <v>33</v>
      </c>
      <c r="G269" s="4" t="s">
        <v>34</v>
      </c>
      <c r="H269" s="4" t="s">
        <v>392</v>
      </c>
      <c r="I269" s="4">
        <v>98.309359000000001</v>
      </c>
      <c r="J269" s="4" t="s">
        <v>13</v>
      </c>
      <c r="K269" s="4" t="s">
        <v>18</v>
      </c>
      <c r="L269">
        <v>0</v>
      </c>
      <c r="M269" s="9">
        <f t="shared" si="30"/>
        <v>122.89356074325819</v>
      </c>
      <c r="N269">
        <v>0</v>
      </c>
      <c r="O269" s="9">
        <v>0</v>
      </c>
      <c r="P269" s="9">
        <f t="shared" si="31"/>
        <v>-122.89356074325819</v>
      </c>
      <c r="Q269" s="16">
        <f t="shared" si="26"/>
        <v>122.89356074325819</v>
      </c>
    </row>
    <row r="270" spans="1:17" x14ac:dyDescent="0.25">
      <c r="A270" s="3">
        <v>76701090029</v>
      </c>
      <c r="B270" s="4" t="s">
        <v>536</v>
      </c>
      <c r="C270" s="12">
        <f t="shared" si="29"/>
        <v>0</v>
      </c>
      <c r="D270" s="4" t="s">
        <v>13</v>
      </c>
      <c r="E270" s="4" t="s">
        <v>14</v>
      </c>
      <c r="F270" s="4" t="s">
        <v>33</v>
      </c>
      <c r="G270" s="4" t="s">
        <v>34</v>
      </c>
      <c r="H270" s="4" t="s">
        <v>392</v>
      </c>
      <c r="I270" s="4"/>
      <c r="J270" s="4" t="s">
        <v>13</v>
      </c>
      <c r="K270" s="4" t="s">
        <v>18</v>
      </c>
      <c r="L270">
        <v>0</v>
      </c>
      <c r="M270" s="9">
        <f t="shared" si="30"/>
        <v>0</v>
      </c>
      <c r="N270">
        <v>0</v>
      </c>
      <c r="O270" s="9">
        <v>0</v>
      </c>
      <c r="P270" s="9">
        <f t="shared" si="31"/>
        <v>0</v>
      </c>
      <c r="Q270" s="16">
        <f t="shared" si="26"/>
        <v>0</v>
      </c>
    </row>
    <row r="271" spans="1:17" x14ac:dyDescent="0.25">
      <c r="A271" s="3">
        <v>76701090028</v>
      </c>
      <c r="B271" s="4" t="s">
        <v>537</v>
      </c>
      <c r="C271" s="12">
        <f t="shared" si="29"/>
        <v>0</v>
      </c>
      <c r="D271" s="4" t="s">
        <v>13</v>
      </c>
      <c r="E271" s="4" t="s">
        <v>14</v>
      </c>
      <c r="F271" s="4" t="s">
        <v>33</v>
      </c>
      <c r="G271" s="4" t="s">
        <v>34</v>
      </c>
      <c r="H271" s="4" t="s">
        <v>392</v>
      </c>
      <c r="I271" s="4"/>
      <c r="J271" s="4" t="s">
        <v>13</v>
      </c>
      <c r="K271" s="4" t="s">
        <v>18</v>
      </c>
      <c r="L271">
        <v>0</v>
      </c>
      <c r="M271" s="9">
        <f t="shared" si="30"/>
        <v>0</v>
      </c>
      <c r="N271">
        <v>0</v>
      </c>
      <c r="O271" s="9">
        <v>0</v>
      </c>
      <c r="P271" s="9">
        <f t="shared" si="31"/>
        <v>0</v>
      </c>
      <c r="Q271" s="16">
        <f t="shared" si="26"/>
        <v>0</v>
      </c>
    </row>
    <row r="272" spans="1:17" x14ac:dyDescent="0.25">
      <c r="A272" s="3">
        <v>76701090018</v>
      </c>
      <c r="B272" s="4" t="s">
        <v>538</v>
      </c>
      <c r="C272" s="12">
        <f t="shared" si="29"/>
        <v>0</v>
      </c>
      <c r="D272" s="4" t="s">
        <v>191</v>
      </c>
      <c r="E272" s="4" t="s">
        <v>14</v>
      </c>
      <c r="F272" s="4" t="s">
        <v>33</v>
      </c>
      <c r="G272" s="4" t="s">
        <v>34</v>
      </c>
      <c r="H272" s="4" t="s">
        <v>392</v>
      </c>
      <c r="I272" s="4"/>
      <c r="J272" s="4" t="s">
        <v>379</v>
      </c>
      <c r="K272" s="4" t="s">
        <v>18</v>
      </c>
      <c r="L272">
        <v>0</v>
      </c>
      <c r="M272" s="9">
        <f t="shared" si="30"/>
        <v>0</v>
      </c>
      <c r="N272">
        <v>0</v>
      </c>
      <c r="O272" s="9">
        <v>0</v>
      </c>
      <c r="P272" s="9">
        <f t="shared" si="31"/>
        <v>0</v>
      </c>
      <c r="Q272" s="16">
        <f t="shared" si="26"/>
        <v>0</v>
      </c>
    </row>
    <row r="273" spans="1:17" x14ac:dyDescent="0.25">
      <c r="A273" s="3">
        <v>76701090012</v>
      </c>
      <c r="B273" s="4" t="s">
        <v>539</v>
      </c>
      <c r="C273" s="12">
        <f t="shared" si="29"/>
        <v>32.805500000000002</v>
      </c>
      <c r="D273" s="4" t="s">
        <v>191</v>
      </c>
      <c r="E273" s="4" t="s">
        <v>14</v>
      </c>
      <c r="F273" s="4" t="s">
        <v>33</v>
      </c>
      <c r="G273" s="4" t="s">
        <v>34</v>
      </c>
      <c r="H273" s="4" t="s">
        <v>392</v>
      </c>
      <c r="I273" s="4">
        <v>31.85</v>
      </c>
      <c r="J273" s="4" t="s">
        <v>379</v>
      </c>
      <c r="K273" s="4" t="s">
        <v>18</v>
      </c>
      <c r="L273">
        <v>0</v>
      </c>
      <c r="M273" s="9">
        <f t="shared" si="30"/>
        <v>39.814723130000004</v>
      </c>
      <c r="N273">
        <v>0</v>
      </c>
      <c r="O273" s="9">
        <v>0</v>
      </c>
      <c r="P273" s="9">
        <f t="shared" si="31"/>
        <v>-39.814723130000004</v>
      </c>
      <c r="Q273" s="16">
        <f t="shared" si="26"/>
        <v>39.814723130000004</v>
      </c>
    </row>
    <row r="274" spans="1:17" x14ac:dyDescent="0.25">
      <c r="A274" s="3">
        <v>2826820</v>
      </c>
      <c r="B274" s="4" t="s">
        <v>540</v>
      </c>
      <c r="C274" s="12">
        <v>400</v>
      </c>
      <c r="D274" s="4" t="s">
        <v>191</v>
      </c>
      <c r="E274" s="4" t="s">
        <v>14</v>
      </c>
      <c r="F274" s="4" t="s">
        <v>33</v>
      </c>
      <c r="G274" s="4" t="s">
        <v>34</v>
      </c>
      <c r="H274" s="4" t="s">
        <v>250</v>
      </c>
      <c r="I274" s="4">
        <v>24.517499999999998</v>
      </c>
      <c r="J274" s="4" t="s">
        <v>527</v>
      </c>
      <c r="K274" s="4" t="s">
        <v>18</v>
      </c>
      <c r="L274">
        <v>0</v>
      </c>
      <c r="M274" s="9">
        <f t="shared" si="30"/>
        <v>485.464</v>
      </c>
      <c r="N274">
        <v>0</v>
      </c>
      <c r="O274" s="9">
        <v>0</v>
      </c>
      <c r="P274" s="9">
        <f t="shared" si="31"/>
        <v>-485.464</v>
      </c>
      <c r="Q274" s="16">
        <f t="shared" si="26"/>
        <v>485.464</v>
      </c>
    </row>
    <row r="275" spans="1:17" x14ac:dyDescent="0.25">
      <c r="A275" s="3">
        <v>2829620</v>
      </c>
      <c r="B275" s="4" t="s">
        <v>541</v>
      </c>
      <c r="C275" s="12">
        <v>400</v>
      </c>
      <c r="D275" s="4" t="s">
        <v>527</v>
      </c>
      <c r="E275" s="4" t="s">
        <v>14</v>
      </c>
      <c r="F275" s="4" t="s">
        <v>33</v>
      </c>
      <c r="G275" s="4" t="s">
        <v>34</v>
      </c>
      <c r="H275" s="4" t="s">
        <v>250</v>
      </c>
      <c r="I275" s="4">
        <v>500</v>
      </c>
      <c r="J275" s="4" t="s">
        <v>191</v>
      </c>
      <c r="K275" s="4" t="s">
        <v>18</v>
      </c>
      <c r="L275">
        <v>0</v>
      </c>
      <c r="M275" s="9">
        <f t="shared" si="30"/>
        <v>485.464</v>
      </c>
      <c r="N275">
        <v>0</v>
      </c>
      <c r="O275" s="9">
        <v>0</v>
      </c>
      <c r="P275" s="9">
        <f t="shared" si="31"/>
        <v>-485.464</v>
      </c>
      <c r="Q275" s="16">
        <f t="shared" si="26"/>
        <v>485.464</v>
      </c>
    </row>
    <row r="276" spans="1:17" x14ac:dyDescent="0.25">
      <c r="A276" s="3">
        <v>2824421</v>
      </c>
      <c r="B276" s="4" t="s">
        <v>542</v>
      </c>
      <c r="C276" s="12">
        <f>I276*3%+I276</f>
        <v>26.515702000000001</v>
      </c>
      <c r="D276" s="4" t="s">
        <v>191</v>
      </c>
      <c r="E276" s="4" t="s">
        <v>14</v>
      </c>
      <c r="F276" s="4" t="s">
        <v>33</v>
      </c>
      <c r="G276" s="4" t="s">
        <v>34</v>
      </c>
      <c r="H276" s="4" t="s">
        <v>250</v>
      </c>
      <c r="I276" s="4">
        <v>25.743400000000001</v>
      </c>
      <c r="J276" s="4" t="s">
        <v>527</v>
      </c>
      <c r="K276" s="4" t="s">
        <v>18</v>
      </c>
      <c r="L276">
        <v>0</v>
      </c>
      <c r="M276" s="9">
        <f t="shared" si="30"/>
        <v>32.181046889320001</v>
      </c>
      <c r="N276">
        <v>0</v>
      </c>
      <c r="O276" s="9">
        <v>0</v>
      </c>
      <c r="P276" s="9">
        <f t="shared" si="31"/>
        <v>-32.181046889320001</v>
      </c>
      <c r="Q276" s="16">
        <f t="shared" si="26"/>
        <v>32.181046889320001</v>
      </c>
    </row>
    <row r="277" spans="1:17" x14ac:dyDescent="0.25">
      <c r="A277" s="3">
        <v>2827780</v>
      </c>
      <c r="B277" s="4" t="s">
        <v>543</v>
      </c>
      <c r="C277" s="12">
        <v>60</v>
      </c>
      <c r="D277" s="4" t="s">
        <v>191</v>
      </c>
      <c r="E277" s="4" t="s">
        <v>14</v>
      </c>
      <c r="F277" s="4" t="s">
        <v>33</v>
      </c>
      <c r="G277" s="4" t="s">
        <v>34</v>
      </c>
      <c r="H277" s="4" t="s">
        <v>250</v>
      </c>
      <c r="I277" s="4">
        <v>240</v>
      </c>
      <c r="J277" s="4" t="s">
        <v>383</v>
      </c>
      <c r="K277" s="4" t="s">
        <v>18</v>
      </c>
      <c r="L277">
        <v>0</v>
      </c>
      <c r="M277" s="9">
        <f t="shared" si="30"/>
        <v>72.819599999999994</v>
      </c>
      <c r="N277">
        <v>0</v>
      </c>
      <c r="O277" s="9">
        <v>0</v>
      </c>
      <c r="P277" s="9">
        <f t="shared" si="31"/>
        <v>-72.819599999999994</v>
      </c>
      <c r="Q277" s="16">
        <f t="shared" si="26"/>
        <v>72.819599999999994</v>
      </c>
    </row>
    <row r="278" spans="1:17" x14ac:dyDescent="0.25">
      <c r="A278" s="3">
        <v>2829720</v>
      </c>
      <c r="B278" s="4" t="s">
        <v>544</v>
      </c>
      <c r="C278" s="12">
        <v>162.22999999999999</v>
      </c>
      <c r="D278" s="4" t="s">
        <v>191</v>
      </c>
      <c r="E278" s="4" t="s">
        <v>14</v>
      </c>
      <c r="F278" s="4" t="s">
        <v>33</v>
      </c>
      <c r="G278" s="4" t="s">
        <v>34</v>
      </c>
      <c r="H278" s="4" t="s">
        <v>250</v>
      </c>
      <c r="I278" s="4">
        <v>157.5</v>
      </c>
      <c r="J278" s="4" t="s">
        <v>191</v>
      </c>
      <c r="K278" s="4" t="s">
        <v>18</v>
      </c>
      <c r="L278">
        <v>0</v>
      </c>
      <c r="M278" s="9">
        <f t="shared" si="30"/>
        <v>196.89206179999999</v>
      </c>
      <c r="N278">
        <v>0</v>
      </c>
      <c r="O278" s="9">
        <v>0</v>
      </c>
      <c r="P278" s="9">
        <f t="shared" si="31"/>
        <v>-196.89206179999999</v>
      </c>
      <c r="Q278" s="16">
        <f t="shared" si="26"/>
        <v>196.89206179999999</v>
      </c>
    </row>
    <row r="279" spans="1:17" x14ac:dyDescent="0.25">
      <c r="A279" s="3">
        <v>2820379</v>
      </c>
      <c r="B279" s="4" t="s">
        <v>545</v>
      </c>
      <c r="C279" s="12">
        <v>0.11</v>
      </c>
      <c r="D279" s="4" t="s">
        <v>13</v>
      </c>
      <c r="E279" s="4" t="s">
        <v>14</v>
      </c>
      <c r="F279" s="4" t="s">
        <v>33</v>
      </c>
      <c r="G279" s="4" t="s">
        <v>34</v>
      </c>
      <c r="H279" s="4" t="s">
        <v>155</v>
      </c>
      <c r="I279" s="4">
        <v>0.11</v>
      </c>
      <c r="J279" s="4" t="s">
        <v>13</v>
      </c>
      <c r="K279" s="4" t="s">
        <v>18</v>
      </c>
      <c r="L279">
        <v>0</v>
      </c>
      <c r="M279" s="9">
        <f t="shared" si="30"/>
        <v>0.1335026</v>
      </c>
      <c r="N279">
        <v>0</v>
      </c>
      <c r="O279" s="9">
        <v>0</v>
      </c>
      <c r="P279" s="9">
        <f t="shared" si="31"/>
        <v>-0.1335026</v>
      </c>
      <c r="Q279" s="16">
        <f t="shared" si="26"/>
        <v>0.1335026</v>
      </c>
    </row>
    <row r="280" spans="1:17" x14ac:dyDescent="0.25">
      <c r="A280" s="3">
        <v>2828620</v>
      </c>
      <c r="B280" s="4" t="s">
        <v>546</v>
      </c>
      <c r="C280" s="12">
        <v>400</v>
      </c>
      <c r="D280" s="4" t="s">
        <v>191</v>
      </c>
      <c r="E280" s="4" t="s">
        <v>14</v>
      </c>
      <c r="F280" s="4" t="s">
        <v>33</v>
      </c>
      <c r="G280" s="4" t="s">
        <v>34</v>
      </c>
      <c r="H280" s="4" t="s">
        <v>250</v>
      </c>
      <c r="I280" s="4">
        <v>29.0625</v>
      </c>
      <c r="J280" s="4" t="s">
        <v>191</v>
      </c>
      <c r="K280" s="4" t="s">
        <v>18</v>
      </c>
      <c r="L280">
        <v>0</v>
      </c>
      <c r="M280" s="9">
        <f t="shared" si="30"/>
        <v>485.464</v>
      </c>
      <c r="N280">
        <v>0</v>
      </c>
      <c r="O280" s="9">
        <v>0</v>
      </c>
      <c r="P280" s="9">
        <f t="shared" si="31"/>
        <v>-485.464</v>
      </c>
      <c r="Q280" s="16">
        <f t="shared" si="26"/>
        <v>485.464</v>
      </c>
    </row>
    <row r="281" spans="1:17" x14ac:dyDescent="0.25">
      <c r="A281" s="3">
        <v>2824520</v>
      </c>
      <c r="B281" s="4" t="s">
        <v>547</v>
      </c>
      <c r="C281" s="12">
        <v>335</v>
      </c>
      <c r="D281" s="4" t="s">
        <v>191</v>
      </c>
      <c r="E281" s="4" t="s">
        <v>14</v>
      </c>
      <c r="F281" s="4" t="s">
        <v>33</v>
      </c>
      <c r="G281" s="4" t="s">
        <v>34</v>
      </c>
      <c r="H281" s="4" t="s">
        <v>250</v>
      </c>
      <c r="I281" s="4">
        <v>21</v>
      </c>
      <c r="J281" s="4" t="s">
        <v>527</v>
      </c>
      <c r="K281" s="4" t="s">
        <v>18</v>
      </c>
      <c r="L281">
        <v>0</v>
      </c>
      <c r="M281" s="9">
        <f t="shared" si="30"/>
        <v>406.5761</v>
      </c>
      <c r="N281">
        <v>0</v>
      </c>
      <c r="O281" s="9">
        <v>0</v>
      </c>
      <c r="P281" s="9">
        <f t="shared" si="31"/>
        <v>-406.5761</v>
      </c>
      <c r="Q281" s="16">
        <f t="shared" si="26"/>
        <v>406.5761</v>
      </c>
    </row>
    <row r="282" spans="1:17" x14ac:dyDescent="0.25">
      <c r="A282" s="3">
        <v>2827420</v>
      </c>
      <c r="B282" s="4" t="s">
        <v>548</v>
      </c>
      <c r="C282" s="12">
        <v>180</v>
      </c>
      <c r="D282" s="4" t="s">
        <v>383</v>
      </c>
      <c r="E282" s="4" t="s">
        <v>14</v>
      </c>
      <c r="F282" s="4" t="s">
        <v>33</v>
      </c>
      <c r="G282" s="4" t="s">
        <v>34</v>
      </c>
      <c r="H282" s="4" t="s">
        <v>250</v>
      </c>
      <c r="I282" s="4">
        <v>10.180999999999999</v>
      </c>
      <c r="J282" s="4" t="s">
        <v>379</v>
      </c>
      <c r="K282" s="4" t="s">
        <v>18</v>
      </c>
      <c r="L282">
        <v>0</v>
      </c>
      <c r="M282" s="9">
        <f t="shared" si="30"/>
        <v>218.4588</v>
      </c>
      <c r="N282">
        <v>0</v>
      </c>
      <c r="O282" s="9">
        <v>0</v>
      </c>
      <c r="P282" s="9">
        <f t="shared" si="31"/>
        <v>-218.4588</v>
      </c>
      <c r="Q282" s="16">
        <f t="shared" ref="Q282:Q345" si="32">C282*1.21366</f>
        <v>218.4588</v>
      </c>
    </row>
    <row r="283" spans="1:17" x14ac:dyDescent="0.25">
      <c r="A283" s="3">
        <v>2826325</v>
      </c>
      <c r="B283" s="4" t="s">
        <v>549</v>
      </c>
      <c r="C283" s="12">
        <v>146.26</v>
      </c>
      <c r="D283" s="4" t="s">
        <v>383</v>
      </c>
      <c r="E283" s="4" t="s">
        <v>14</v>
      </c>
      <c r="F283" s="4" t="s">
        <v>33</v>
      </c>
      <c r="G283" s="4" t="s">
        <v>34</v>
      </c>
      <c r="H283" s="4" t="s">
        <v>250</v>
      </c>
      <c r="I283" s="4">
        <v>5.68</v>
      </c>
      <c r="J283" s="4" t="s">
        <v>379</v>
      </c>
      <c r="K283" s="4" t="s">
        <v>18</v>
      </c>
      <c r="L283">
        <v>0</v>
      </c>
      <c r="M283" s="9">
        <f t="shared" si="30"/>
        <v>177.50991159999998</v>
      </c>
      <c r="N283">
        <v>0</v>
      </c>
      <c r="O283" s="9">
        <v>0</v>
      </c>
      <c r="P283" s="9">
        <f t="shared" si="31"/>
        <v>-177.50991159999998</v>
      </c>
      <c r="Q283" s="16">
        <f t="shared" si="32"/>
        <v>177.50991159999998</v>
      </c>
    </row>
    <row r="284" spans="1:17" x14ac:dyDescent="0.25">
      <c r="A284" s="3">
        <v>2828805</v>
      </c>
      <c r="B284" s="4" t="s">
        <v>550</v>
      </c>
      <c r="C284" s="12">
        <v>102</v>
      </c>
      <c r="D284" s="4" t="s">
        <v>191</v>
      </c>
      <c r="E284" s="4" t="s">
        <v>14</v>
      </c>
      <c r="F284" s="4" t="s">
        <v>33</v>
      </c>
      <c r="G284" s="4" t="s">
        <v>34</v>
      </c>
      <c r="H284" s="4" t="s">
        <v>155</v>
      </c>
      <c r="I284" s="4">
        <v>105</v>
      </c>
      <c r="J284" s="4" t="s">
        <v>191</v>
      </c>
      <c r="K284" s="4" t="s">
        <v>18</v>
      </c>
      <c r="L284">
        <v>0</v>
      </c>
      <c r="M284" s="9">
        <f t="shared" si="30"/>
        <v>123.79331999999999</v>
      </c>
      <c r="N284">
        <v>0</v>
      </c>
      <c r="O284" s="9">
        <v>0</v>
      </c>
      <c r="P284" s="9">
        <f t="shared" si="31"/>
        <v>-123.79331999999999</v>
      </c>
      <c r="Q284" s="16">
        <f t="shared" si="32"/>
        <v>123.79331999999999</v>
      </c>
    </row>
    <row r="285" spans="1:17" x14ac:dyDescent="0.25">
      <c r="A285" s="3">
        <v>2822804</v>
      </c>
      <c r="B285" s="4" t="s">
        <v>551</v>
      </c>
      <c r="C285" s="12">
        <v>85</v>
      </c>
      <c r="D285" s="4" t="s">
        <v>242</v>
      </c>
      <c r="E285" s="4" t="s">
        <v>14</v>
      </c>
      <c r="F285" s="4" t="s">
        <v>33</v>
      </c>
      <c r="G285" s="4" t="s">
        <v>34</v>
      </c>
      <c r="H285" s="4" t="s">
        <v>318</v>
      </c>
      <c r="I285" s="4">
        <v>29.4</v>
      </c>
      <c r="J285" s="4" t="s">
        <v>331</v>
      </c>
      <c r="K285" s="4" t="s">
        <v>18</v>
      </c>
      <c r="L285">
        <v>0</v>
      </c>
      <c r="M285" s="9">
        <f t="shared" si="30"/>
        <v>103.16109999999999</v>
      </c>
      <c r="N285">
        <v>0</v>
      </c>
      <c r="O285" s="9">
        <v>0</v>
      </c>
      <c r="P285" s="9">
        <f t="shared" si="31"/>
        <v>-103.16109999999999</v>
      </c>
      <c r="Q285" s="16">
        <f t="shared" si="32"/>
        <v>103.16109999999999</v>
      </c>
    </row>
    <row r="286" spans="1:17" x14ac:dyDescent="0.25">
      <c r="A286" s="3">
        <v>2821015</v>
      </c>
      <c r="B286" s="4" t="s">
        <v>552</v>
      </c>
      <c r="C286" s="12">
        <v>205.65</v>
      </c>
      <c r="D286" s="4" t="s">
        <v>111</v>
      </c>
      <c r="E286" s="4" t="s">
        <v>14</v>
      </c>
      <c r="F286" s="4" t="s">
        <v>33</v>
      </c>
      <c r="G286" s="4" t="s">
        <v>34</v>
      </c>
      <c r="H286" s="4" t="s">
        <v>155</v>
      </c>
      <c r="I286" s="4">
        <v>13.314082000000001</v>
      </c>
      <c r="J286" s="4" t="s">
        <v>331</v>
      </c>
      <c r="K286" s="4" t="s">
        <v>18</v>
      </c>
      <c r="L286">
        <v>0</v>
      </c>
      <c r="M286" s="9">
        <f t="shared" si="30"/>
        <v>249.589179</v>
      </c>
      <c r="N286">
        <v>0</v>
      </c>
      <c r="O286" s="9">
        <v>0</v>
      </c>
      <c r="P286" s="9">
        <f t="shared" si="31"/>
        <v>-249.589179</v>
      </c>
      <c r="Q286" s="16">
        <f t="shared" si="32"/>
        <v>249.589179</v>
      </c>
    </row>
    <row r="287" spans="1:17" x14ac:dyDescent="0.25">
      <c r="A287" s="3">
        <v>2826910</v>
      </c>
      <c r="B287" s="4" t="s">
        <v>553</v>
      </c>
      <c r="C287" s="12">
        <v>175</v>
      </c>
      <c r="D287" s="4" t="s">
        <v>111</v>
      </c>
      <c r="E287" s="4" t="s">
        <v>14</v>
      </c>
      <c r="F287" s="4" t="s">
        <v>33</v>
      </c>
      <c r="G287" s="4" t="s">
        <v>34</v>
      </c>
      <c r="H287" s="4" t="s">
        <v>250</v>
      </c>
      <c r="I287" s="4">
        <v>18.899999999999999</v>
      </c>
      <c r="J287" s="4" t="s">
        <v>331</v>
      </c>
      <c r="K287" s="4" t="s">
        <v>18</v>
      </c>
      <c r="L287">
        <v>0</v>
      </c>
      <c r="M287" s="9">
        <f t="shared" si="30"/>
        <v>212.3905</v>
      </c>
      <c r="N287">
        <v>0</v>
      </c>
      <c r="O287" s="9">
        <v>0</v>
      </c>
      <c r="P287" s="9">
        <f t="shared" si="31"/>
        <v>-212.3905</v>
      </c>
      <c r="Q287" s="16">
        <f t="shared" si="32"/>
        <v>212.3905</v>
      </c>
    </row>
    <row r="288" spans="1:17" x14ac:dyDescent="0.25">
      <c r="A288" s="3">
        <v>2826420</v>
      </c>
      <c r="B288" s="4" t="s">
        <v>554</v>
      </c>
      <c r="C288" s="12">
        <f>I288*3%+I288</f>
        <v>5.4868100000000002</v>
      </c>
      <c r="D288" s="4" t="s">
        <v>383</v>
      </c>
      <c r="E288" s="4" t="s">
        <v>14</v>
      </c>
      <c r="F288" s="4" t="s">
        <v>33</v>
      </c>
      <c r="G288" s="4" t="s">
        <v>34</v>
      </c>
      <c r="H288" s="4" t="s">
        <v>250</v>
      </c>
      <c r="I288" s="4">
        <v>5.327</v>
      </c>
      <c r="J288" s="4" t="s">
        <v>379</v>
      </c>
      <c r="K288" s="4" t="s">
        <v>18</v>
      </c>
      <c r="L288">
        <v>0</v>
      </c>
      <c r="M288" s="9">
        <f t="shared" si="30"/>
        <v>6.6591218245999997</v>
      </c>
      <c r="N288">
        <v>0</v>
      </c>
      <c r="O288" s="9">
        <v>0</v>
      </c>
      <c r="P288" s="9">
        <f t="shared" si="31"/>
        <v>-6.6591218245999997</v>
      </c>
      <c r="Q288" s="16">
        <f t="shared" si="32"/>
        <v>6.6591218245999997</v>
      </c>
    </row>
    <row r="289" spans="1:17" x14ac:dyDescent="0.25">
      <c r="A289" s="3">
        <v>2829425</v>
      </c>
      <c r="B289" s="4" t="s">
        <v>555</v>
      </c>
      <c r="C289" s="12">
        <f>I289*3%+I289</f>
        <v>5.4074999999999998</v>
      </c>
      <c r="D289" s="4" t="s">
        <v>32</v>
      </c>
      <c r="E289" s="4" t="s">
        <v>14</v>
      </c>
      <c r="F289" s="4" t="s">
        <v>33</v>
      </c>
      <c r="G289" s="4" t="s">
        <v>34</v>
      </c>
      <c r="H289" s="4" t="s">
        <v>155</v>
      </c>
      <c r="I289" s="4">
        <v>5.25</v>
      </c>
      <c r="J289" s="4" t="s">
        <v>331</v>
      </c>
      <c r="K289" s="4" t="s">
        <v>18</v>
      </c>
      <c r="L289">
        <v>0</v>
      </c>
      <c r="M289" s="9">
        <f t="shared" si="30"/>
        <v>6.5628664499999996</v>
      </c>
      <c r="N289">
        <v>0</v>
      </c>
      <c r="O289" s="9">
        <v>0</v>
      </c>
      <c r="P289" s="9">
        <f t="shared" si="31"/>
        <v>-6.5628664499999996</v>
      </c>
      <c r="Q289" s="16">
        <f t="shared" si="32"/>
        <v>6.5628664499999996</v>
      </c>
    </row>
    <row r="290" spans="1:17" x14ac:dyDescent="0.25">
      <c r="A290" s="3">
        <v>2821126</v>
      </c>
      <c r="B290" s="4" t="s">
        <v>556</v>
      </c>
      <c r="C290" s="12">
        <v>30.9</v>
      </c>
      <c r="D290" s="4" t="s">
        <v>124</v>
      </c>
      <c r="E290" s="4" t="s">
        <v>14</v>
      </c>
      <c r="F290" s="4" t="s">
        <v>33</v>
      </c>
      <c r="G290" s="4" t="s">
        <v>34</v>
      </c>
      <c r="H290" s="4" t="s">
        <v>180</v>
      </c>
      <c r="I290" s="4">
        <v>30</v>
      </c>
      <c r="J290" s="4" t="s">
        <v>124</v>
      </c>
      <c r="K290" s="4" t="s">
        <v>18</v>
      </c>
      <c r="L290">
        <v>0</v>
      </c>
      <c r="M290" s="9">
        <f t="shared" si="30"/>
        <v>37.502094</v>
      </c>
      <c r="N290">
        <v>0</v>
      </c>
      <c r="O290" s="9">
        <v>0</v>
      </c>
      <c r="P290" s="9">
        <f t="shared" si="31"/>
        <v>-37.502094</v>
      </c>
      <c r="Q290" s="16">
        <f t="shared" si="32"/>
        <v>37.502094</v>
      </c>
    </row>
    <row r="291" spans="1:17" x14ac:dyDescent="0.25">
      <c r="A291" s="3">
        <v>2802150</v>
      </c>
      <c r="B291" s="4" t="s">
        <v>557</v>
      </c>
      <c r="C291" s="12">
        <f>I291*3%+I291</f>
        <v>149.35</v>
      </c>
      <c r="D291" s="4" t="s">
        <v>191</v>
      </c>
      <c r="E291" s="4"/>
      <c r="F291" s="4" t="s">
        <v>33</v>
      </c>
      <c r="G291" s="4" t="s">
        <v>34</v>
      </c>
      <c r="H291" s="4" t="s">
        <v>515</v>
      </c>
      <c r="I291" s="4">
        <v>145</v>
      </c>
      <c r="J291" s="4" t="s">
        <v>191</v>
      </c>
      <c r="K291" s="4" t="s">
        <v>18</v>
      </c>
      <c r="L291">
        <v>0</v>
      </c>
      <c r="M291" s="9">
        <f t="shared" si="30"/>
        <v>181.260121</v>
      </c>
      <c r="N291">
        <v>0</v>
      </c>
      <c r="O291" s="9">
        <v>0</v>
      </c>
      <c r="P291" s="9">
        <f t="shared" si="31"/>
        <v>-181.260121</v>
      </c>
      <c r="Q291" s="16">
        <f t="shared" si="32"/>
        <v>181.260121</v>
      </c>
    </row>
    <row r="292" spans="1:17" x14ac:dyDescent="0.25">
      <c r="A292" s="3">
        <v>2802250</v>
      </c>
      <c r="B292" s="4" t="s">
        <v>558</v>
      </c>
      <c r="C292" s="12">
        <f>I292*3%+I292</f>
        <v>133.9</v>
      </c>
      <c r="D292" s="4" t="s">
        <v>191</v>
      </c>
      <c r="E292" s="4"/>
      <c r="F292" s="4" t="s">
        <v>33</v>
      </c>
      <c r="G292" s="4" t="s">
        <v>34</v>
      </c>
      <c r="H292" s="4" t="s">
        <v>515</v>
      </c>
      <c r="I292" s="4">
        <v>130</v>
      </c>
      <c r="J292" s="4" t="s">
        <v>191</v>
      </c>
      <c r="K292" s="4" t="s">
        <v>18</v>
      </c>
      <c r="L292">
        <v>0</v>
      </c>
      <c r="M292" s="9">
        <f t="shared" si="30"/>
        <v>162.509074</v>
      </c>
      <c r="N292">
        <v>0</v>
      </c>
      <c r="O292" s="9">
        <v>0</v>
      </c>
      <c r="P292" s="9">
        <f t="shared" si="31"/>
        <v>-162.509074</v>
      </c>
      <c r="Q292" s="16">
        <f t="shared" si="32"/>
        <v>162.509074</v>
      </c>
    </row>
    <row r="293" spans="1:17" x14ac:dyDescent="0.25">
      <c r="A293" s="3">
        <v>2801225</v>
      </c>
      <c r="B293" s="4" t="s">
        <v>559</v>
      </c>
      <c r="C293" s="12">
        <v>43.26</v>
      </c>
      <c r="D293" s="4" t="s">
        <v>191</v>
      </c>
      <c r="E293" s="4" t="s">
        <v>14</v>
      </c>
      <c r="F293" s="4" t="s">
        <v>33</v>
      </c>
      <c r="G293" s="4" t="s">
        <v>34</v>
      </c>
      <c r="H293" s="4" t="s">
        <v>515</v>
      </c>
      <c r="I293" s="4">
        <v>1.68</v>
      </c>
      <c r="J293" s="4" t="s">
        <v>379</v>
      </c>
      <c r="K293" s="4" t="s">
        <v>18</v>
      </c>
      <c r="L293">
        <v>0</v>
      </c>
      <c r="M293" s="9">
        <f t="shared" si="30"/>
        <v>52.502931599999997</v>
      </c>
      <c r="N293">
        <v>0</v>
      </c>
      <c r="O293" s="9">
        <v>0</v>
      </c>
      <c r="P293" s="9">
        <f t="shared" si="31"/>
        <v>-52.502931599999997</v>
      </c>
      <c r="Q293" s="16">
        <f t="shared" si="32"/>
        <v>52.502931599999997</v>
      </c>
    </row>
    <row r="294" spans="1:17" x14ac:dyDescent="0.25">
      <c r="A294" s="3">
        <v>2816950</v>
      </c>
      <c r="B294" s="4" t="s">
        <v>560</v>
      </c>
      <c r="C294" s="12">
        <v>151.41</v>
      </c>
      <c r="D294" s="4" t="s">
        <v>191</v>
      </c>
      <c r="E294" s="4" t="s">
        <v>14</v>
      </c>
      <c r="F294" s="4" t="s">
        <v>33</v>
      </c>
      <c r="G294" s="4" t="s">
        <v>34</v>
      </c>
      <c r="H294" s="4" t="s">
        <v>515</v>
      </c>
      <c r="I294" s="4">
        <v>2.94</v>
      </c>
      <c r="J294" s="4" t="s">
        <v>527</v>
      </c>
      <c r="K294" s="4" t="s">
        <v>18</v>
      </c>
      <c r="L294">
        <v>2816950</v>
      </c>
      <c r="M294" s="9">
        <f t="shared" si="30"/>
        <v>183.76026059999998</v>
      </c>
      <c r="N294">
        <v>0</v>
      </c>
      <c r="O294" s="9">
        <v>0</v>
      </c>
      <c r="P294" s="9">
        <f t="shared" si="31"/>
        <v>-183.76026059999998</v>
      </c>
      <c r="Q294" s="16">
        <f t="shared" si="32"/>
        <v>183.76026059999998</v>
      </c>
    </row>
    <row r="295" spans="1:17" x14ac:dyDescent="0.25">
      <c r="A295" s="3">
        <v>2816950</v>
      </c>
      <c r="B295" s="4" t="s">
        <v>560</v>
      </c>
      <c r="C295" s="12">
        <f>I295*3%+I295</f>
        <v>3.605</v>
      </c>
      <c r="D295" s="4" t="s">
        <v>191</v>
      </c>
      <c r="E295" s="4" t="s">
        <v>14</v>
      </c>
      <c r="F295" s="4" t="s">
        <v>33</v>
      </c>
      <c r="G295" s="4" t="s">
        <v>34</v>
      </c>
      <c r="H295" s="4" t="s">
        <v>515</v>
      </c>
      <c r="I295" s="4">
        <v>3.5</v>
      </c>
      <c r="J295" s="4" t="s">
        <v>527</v>
      </c>
      <c r="K295" s="4" t="s">
        <v>18</v>
      </c>
      <c r="L295">
        <v>2816950</v>
      </c>
      <c r="M295" s="9">
        <f t="shared" si="30"/>
        <v>4.3752442999999994</v>
      </c>
      <c r="N295">
        <v>0</v>
      </c>
      <c r="O295" s="9">
        <v>0</v>
      </c>
      <c r="P295" s="9">
        <f t="shared" si="31"/>
        <v>-4.3752442999999994</v>
      </c>
      <c r="Q295" s="16">
        <f t="shared" si="32"/>
        <v>4.3752442999999994</v>
      </c>
    </row>
    <row r="296" spans="1:17" x14ac:dyDescent="0.25">
      <c r="A296" s="7">
        <v>2816325</v>
      </c>
      <c r="B296" s="8" t="s">
        <v>561</v>
      </c>
      <c r="C296" s="14">
        <v>2.7088999999999999</v>
      </c>
      <c r="D296" s="8" t="s">
        <v>527</v>
      </c>
      <c r="E296" s="8" t="s">
        <v>14</v>
      </c>
      <c r="F296" s="8" t="s">
        <v>33</v>
      </c>
      <c r="G296" s="8" t="s">
        <v>34</v>
      </c>
      <c r="H296" s="8" t="s">
        <v>515</v>
      </c>
      <c r="I296" s="8">
        <v>7.0991999999999997</v>
      </c>
      <c r="J296" s="8" t="s">
        <v>527</v>
      </c>
      <c r="K296" s="8" t="s">
        <v>18</v>
      </c>
      <c r="L296">
        <v>0</v>
      </c>
      <c r="M296" s="9">
        <f t="shared" si="30"/>
        <v>3.2876835739999999</v>
      </c>
      <c r="N296">
        <v>0</v>
      </c>
      <c r="O296" s="9">
        <v>0</v>
      </c>
      <c r="P296" s="9">
        <f t="shared" si="31"/>
        <v>-3.2876835739999999</v>
      </c>
      <c r="Q296" s="16">
        <f t="shared" si="32"/>
        <v>3.2876835739999999</v>
      </c>
    </row>
    <row r="297" spans="1:17" x14ac:dyDescent="0.25">
      <c r="A297" s="3" t="s">
        <v>562</v>
      </c>
      <c r="B297" s="4" t="s">
        <v>563</v>
      </c>
      <c r="C297" s="12">
        <v>170</v>
      </c>
      <c r="D297" s="4" t="s">
        <v>191</v>
      </c>
      <c r="E297" s="4"/>
      <c r="F297" s="4" t="s">
        <v>33</v>
      </c>
      <c r="G297" s="4" t="s">
        <v>34</v>
      </c>
      <c r="H297" s="4" t="s">
        <v>564</v>
      </c>
      <c r="I297" s="4">
        <v>178.5</v>
      </c>
      <c r="J297" s="4" t="s">
        <v>191</v>
      </c>
      <c r="K297" s="4" t="s">
        <v>18</v>
      </c>
      <c r="L297">
        <v>0</v>
      </c>
      <c r="M297" s="9">
        <f t="shared" si="30"/>
        <v>206.32219999999998</v>
      </c>
      <c r="N297">
        <v>0</v>
      </c>
      <c r="O297" s="9">
        <v>0</v>
      </c>
      <c r="P297" s="9">
        <f t="shared" si="31"/>
        <v>-206.32219999999998</v>
      </c>
      <c r="Q297" s="16">
        <f t="shared" si="32"/>
        <v>206.32219999999998</v>
      </c>
    </row>
    <row r="298" spans="1:17" x14ac:dyDescent="0.25">
      <c r="A298" s="3" t="s">
        <v>565</v>
      </c>
      <c r="B298" s="4" t="s">
        <v>566</v>
      </c>
      <c r="C298" s="12">
        <v>220</v>
      </c>
      <c r="D298" s="4" t="s">
        <v>191</v>
      </c>
      <c r="E298" s="4" t="s">
        <v>14</v>
      </c>
      <c r="F298" s="4" t="s">
        <v>33</v>
      </c>
      <c r="G298" s="4" t="s">
        <v>34</v>
      </c>
      <c r="H298" s="4" t="s">
        <v>564</v>
      </c>
      <c r="I298" s="4">
        <v>283.8</v>
      </c>
      <c r="J298" s="4" t="s">
        <v>191</v>
      </c>
      <c r="K298" s="4" t="s">
        <v>18</v>
      </c>
      <c r="L298">
        <v>0</v>
      </c>
      <c r="M298" s="9">
        <f t="shared" si="30"/>
        <v>267.0052</v>
      </c>
      <c r="N298">
        <v>0</v>
      </c>
      <c r="O298" s="9">
        <v>0</v>
      </c>
      <c r="P298" s="9">
        <f t="shared" si="31"/>
        <v>-267.0052</v>
      </c>
      <c r="Q298" s="16">
        <f t="shared" si="32"/>
        <v>267.0052</v>
      </c>
    </row>
    <row r="299" spans="1:17" x14ac:dyDescent="0.25">
      <c r="A299" s="3">
        <v>7344505</v>
      </c>
      <c r="B299" s="4" t="s">
        <v>567</v>
      </c>
      <c r="C299" s="12">
        <v>18</v>
      </c>
      <c r="D299" s="4" t="s">
        <v>111</v>
      </c>
      <c r="E299" s="4" t="s">
        <v>14</v>
      </c>
      <c r="F299" s="4" t="s">
        <v>33</v>
      </c>
      <c r="G299" s="4" t="s">
        <v>34</v>
      </c>
      <c r="H299" s="4" t="s">
        <v>377</v>
      </c>
      <c r="I299" s="4">
        <v>4.1180000000000003</v>
      </c>
      <c r="J299" s="4" t="s">
        <v>331</v>
      </c>
      <c r="K299" s="4" t="s">
        <v>18</v>
      </c>
      <c r="L299">
        <v>0</v>
      </c>
      <c r="M299" s="9">
        <f t="shared" si="30"/>
        <v>21.845880000000001</v>
      </c>
      <c r="N299">
        <v>0</v>
      </c>
      <c r="O299" s="9">
        <v>0</v>
      </c>
      <c r="P299" s="9">
        <f t="shared" si="31"/>
        <v>-21.845880000000001</v>
      </c>
      <c r="Q299" s="16">
        <f t="shared" si="32"/>
        <v>21.845880000000001</v>
      </c>
    </row>
    <row r="300" spans="1:17" x14ac:dyDescent="0.25">
      <c r="A300" s="3">
        <v>7344910</v>
      </c>
      <c r="B300" s="4" t="s">
        <v>568</v>
      </c>
      <c r="C300" s="12">
        <v>113</v>
      </c>
      <c r="D300" s="4" t="s">
        <v>111</v>
      </c>
      <c r="E300" s="4" t="s">
        <v>14</v>
      </c>
      <c r="F300" s="4" t="s">
        <v>33</v>
      </c>
      <c r="G300" s="4" t="s">
        <v>34</v>
      </c>
      <c r="H300" s="4" t="s">
        <v>377</v>
      </c>
      <c r="I300" s="4">
        <v>110.25</v>
      </c>
      <c r="J300" s="4" t="s">
        <v>111</v>
      </c>
      <c r="K300" s="4" t="s">
        <v>18</v>
      </c>
      <c r="L300">
        <v>0</v>
      </c>
      <c r="M300" s="9">
        <f t="shared" si="30"/>
        <v>137.14357999999999</v>
      </c>
      <c r="N300">
        <v>0</v>
      </c>
      <c r="O300" s="9">
        <v>0</v>
      </c>
      <c r="P300" s="9">
        <f t="shared" si="31"/>
        <v>-137.14357999999999</v>
      </c>
      <c r="Q300" s="16">
        <f t="shared" si="32"/>
        <v>137.14357999999999</v>
      </c>
    </row>
    <row r="301" spans="1:17" x14ac:dyDescent="0.25">
      <c r="A301" s="3" t="s">
        <v>569</v>
      </c>
      <c r="B301" s="4" t="s">
        <v>570</v>
      </c>
      <c r="C301" s="12">
        <f>I301*3%+I301</f>
        <v>56.021700000000003</v>
      </c>
      <c r="D301" s="4" t="s">
        <v>118</v>
      </c>
      <c r="E301" s="4" t="s">
        <v>244</v>
      </c>
      <c r="F301" s="4" t="s">
        <v>571</v>
      </c>
      <c r="G301" s="4" t="s">
        <v>572</v>
      </c>
      <c r="H301" s="4" t="s">
        <v>573</v>
      </c>
      <c r="I301" s="4">
        <v>54.39</v>
      </c>
      <c r="J301" s="4" t="s">
        <v>118</v>
      </c>
      <c r="K301" s="4" t="s">
        <v>18</v>
      </c>
      <c r="L301" t="s">
        <v>569</v>
      </c>
      <c r="M301" s="9">
        <f t="shared" si="30"/>
        <v>67.991296422000005</v>
      </c>
      <c r="N301">
        <v>0</v>
      </c>
      <c r="O301" s="9">
        <v>0</v>
      </c>
      <c r="P301" s="9">
        <f t="shared" si="31"/>
        <v>-67.991296422000005</v>
      </c>
      <c r="Q301" s="16">
        <f t="shared" si="32"/>
        <v>67.991296422000005</v>
      </c>
    </row>
    <row r="302" spans="1:17" x14ac:dyDescent="0.25">
      <c r="A302" s="3" t="s">
        <v>574</v>
      </c>
      <c r="B302" s="4" t="s">
        <v>575</v>
      </c>
      <c r="C302" s="12">
        <f t="shared" ref="C302:C312" si="33">I302*3%+I302</f>
        <v>10.815</v>
      </c>
      <c r="D302" s="4" t="s">
        <v>334</v>
      </c>
      <c r="E302" s="4" t="s">
        <v>244</v>
      </c>
      <c r="F302" s="4" t="s">
        <v>571</v>
      </c>
      <c r="G302" s="4" t="s">
        <v>572</v>
      </c>
      <c r="H302" s="4" t="s">
        <v>573</v>
      </c>
      <c r="I302" s="4">
        <v>10.5</v>
      </c>
      <c r="J302" s="4" t="s">
        <v>334</v>
      </c>
      <c r="K302" s="4" t="s">
        <v>18</v>
      </c>
      <c r="L302" t="s">
        <v>574</v>
      </c>
      <c r="M302" s="9">
        <f t="shared" si="30"/>
        <v>13.125732899999999</v>
      </c>
      <c r="N302">
        <v>0</v>
      </c>
      <c r="O302" s="9">
        <v>0</v>
      </c>
      <c r="P302" s="9">
        <f t="shared" si="31"/>
        <v>-13.125732899999999</v>
      </c>
      <c r="Q302" s="16">
        <f t="shared" si="32"/>
        <v>13.125732899999999</v>
      </c>
    </row>
    <row r="303" spans="1:17" x14ac:dyDescent="0.25">
      <c r="A303" s="3" t="s">
        <v>576</v>
      </c>
      <c r="B303" s="4" t="s">
        <v>577</v>
      </c>
      <c r="C303" s="12">
        <f t="shared" si="33"/>
        <v>32.445</v>
      </c>
      <c r="D303" s="4" t="s">
        <v>118</v>
      </c>
      <c r="E303" s="4" t="s">
        <v>244</v>
      </c>
      <c r="F303" s="4" t="s">
        <v>571</v>
      </c>
      <c r="G303" s="4" t="s">
        <v>572</v>
      </c>
      <c r="H303" s="4" t="s">
        <v>573</v>
      </c>
      <c r="I303" s="4">
        <v>31.5</v>
      </c>
      <c r="J303" s="4" t="s">
        <v>118</v>
      </c>
      <c r="K303" s="4" t="s">
        <v>18</v>
      </c>
      <c r="L303" t="s">
        <v>576</v>
      </c>
      <c r="M303" s="9">
        <f t="shared" si="30"/>
        <v>39.377198700000001</v>
      </c>
      <c r="N303">
        <v>0</v>
      </c>
      <c r="O303" s="9">
        <v>0</v>
      </c>
      <c r="P303" s="9">
        <f t="shared" si="31"/>
        <v>-39.377198700000001</v>
      </c>
      <c r="Q303" s="16">
        <f t="shared" si="32"/>
        <v>39.377198700000001</v>
      </c>
    </row>
    <row r="304" spans="1:17" x14ac:dyDescent="0.25">
      <c r="A304" s="3" t="s">
        <v>578</v>
      </c>
      <c r="B304" s="4" t="s">
        <v>579</v>
      </c>
      <c r="C304" s="12">
        <f t="shared" si="33"/>
        <v>24.874499999999998</v>
      </c>
      <c r="D304" s="4" t="s">
        <v>13</v>
      </c>
      <c r="E304" s="4" t="s">
        <v>14</v>
      </c>
      <c r="F304" s="4" t="s">
        <v>131</v>
      </c>
      <c r="G304" s="4" t="s">
        <v>132</v>
      </c>
      <c r="H304" s="4" t="s">
        <v>435</v>
      </c>
      <c r="I304" s="4">
        <v>24.15</v>
      </c>
      <c r="J304" s="4" t="s">
        <v>13</v>
      </c>
      <c r="K304" s="4" t="s">
        <v>18</v>
      </c>
      <c r="L304" t="s">
        <v>578</v>
      </c>
      <c r="M304" s="9">
        <f t="shared" si="30"/>
        <v>30.189185669999997</v>
      </c>
      <c r="N304">
        <v>0</v>
      </c>
      <c r="O304" s="9">
        <v>0</v>
      </c>
      <c r="P304" s="9">
        <f t="shared" si="31"/>
        <v>-30.189185669999997</v>
      </c>
      <c r="Q304" s="16">
        <f t="shared" si="32"/>
        <v>30.189185669999997</v>
      </c>
    </row>
    <row r="305" spans="1:17" x14ac:dyDescent="0.25">
      <c r="A305" s="3" t="s">
        <v>580</v>
      </c>
      <c r="B305" s="4" t="s">
        <v>581</v>
      </c>
      <c r="C305" s="12">
        <f t="shared" si="33"/>
        <v>30.374699999999997</v>
      </c>
      <c r="D305" s="4" t="s">
        <v>334</v>
      </c>
      <c r="E305" s="4" t="s">
        <v>14</v>
      </c>
      <c r="F305" s="4" t="s">
        <v>131</v>
      </c>
      <c r="G305" s="4" t="s">
        <v>132</v>
      </c>
      <c r="H305" s="4" t="s">
        <v>435</v>
      </c>
      <c r="I305" s="4">
        <v>29.49</v>
      </c>
      <c r="J305" s="4" t="s">
        <v>334</v>
      </c>
      <c r="K305" s="4" t="s">
        <v>18</v>
      </c>
      <c r="L305" t="s">
        <v>580</v>
      </c>
      <c r="M305" s="9">
        <f t="shared" si="30"/>
        <v>36.864558401999993</v>
      </c>
      <c r="N305">
        <v>0</v>
      </c>
      <c r="O305" s="9">
        <v>0</v>
      </c>
      <c r="P305" s="9">
        <f t="shared" si="31"/>
        <v>-36.864558401999993</v>
      </c>
      <c r="Q305" s="16">
        <f t="shared" si="32"/>
        <v>36.864558401999993</v>
      </c>
    </row>
    <row r="306" spans="1:17" x14ac:dyDescent="0.25">
      <c r="A306" s="3" t="s">
        <v>582</v>
      </c>
      <c r="B306" s="4" t="s">
        <v>583</v>
      </c>
      <c r="C306" s="12">
        <f t="shared" si="33"/>
        <v>19.322800000000001</v>
      </c>
      <c r="D306" s="4" t="s">
        <v>334</v>
      </c>
      <c r="E306" s="4" t="s">
        <v>14</v>
      </c>
      <c r="F306" s="4" t="s">
        <v>131</v>
      </c>
      <c r="G306" s="4" t="s">
        <v>132</v>
      </c>
      <c r="H306" s="4" t="s">
        <v>435</v>
      </c>
      <c r="I306" s="4">
        <v>18.760000000000002</v>
      </c>
      <c r="J306" s="4" t="s">
        <v>334</v>
      </c>
      <c r="K306" s="4" t="s">
        <v>18</v>
      </c>
      <c r="L306" t="s">
        <v>582</v>
      </c>
      <c r="M306" s="9">
        <f t="shared" si="30"/>
        <v>23.451309448</v>
      </c>
      <c r="N306">
        <v>0</v>
      </c>
      <c r="O306" s="9">
        <v>0</v>
      </c>
      <c r="P306" s="9">
        <f t="shared" si="31"/>
        <v>-23.451309448</v>
      </c>
      <c r="Q306" s="16">
        <f t="shared" si="32"/>
        <v>23.451309448</v>
      </c>
    </row>
    <row r="307" spans="1:17" x14ac:dyDescent="0.25">
      <c r="A307" s="3" t="s">
        <v>584</v>
      </c>
      <c r="B307" s="4" t="s">
        <v>585</v>
      </c>
      <c r="C307" s="12">
        <f t="shared" si="33"/>
        <v>44.156099999999995</v>
      </c>
      <c r="D307" s="4" t="s">
        <v>118</v>
      </c>
      <c r="E307" s="4" t="s">
        <v>14</v>
      </c>
      <c r="F307" s="4" t="s">
        <v>15</v>
      </c>
      <c r="G307" s="4" t="s">
        <v>16</v>
      </c>
      <c r="H307" s="4" t="s">
        <v>17</v>
      </c>
      <c r="I307" s="4">
        <v>42.87</v>
      </c>
      <c r="J307" s="4" t="s">
        <v>118</v>
      </c>
      <c r="K307" s="4" t="s">
        <v>18</v>
      </c>
      <c r="L307" t="s">
        <v>584</v>
      </c>
      <c r="M307" s="9">
        <f t="shared" si="30"/>
        <v>53.590492325999989</v>
      </c>
      <c r="N307" t="s">
        <v>584</v>
      </c>
      <c r="O307" s="9">
        <v>53.590899999999998</v>
      </c>
      <c r="P307" s="9">
        <f t="shared" si="31"/>
        <v>4.0767400000873977E-4</v>
      </c>
      <c r="Q307" s="16">
        <f t="shared" si="32"/>
        <v>53.590492325999989</v>
      </c>
    </row>
    <row r="308" spans="1:17" x14ac:dyDescent="0.25">
      <c r="A308" s="3" t="s">
        <v>586</v>
      </c>
      <c r="B308" s="4" t="s">
        <v>587</v>
      </c>
      <c r="C308" s="12">
        <f t="shared" si="33"/>
        <v>378.52499999999998</v>
      </c>
      <c r="D308" s="4" t="s">
        <v>13</v>
      </c>
      <c r="E308" s="4" t="s">
        <v>14</v>
      </c>
      <c r="F308" s="4" t="s">
        <v>33</v>
      </c>
      <c r="G308" s="4" t="s">
        <v>34</v>
      </c>
      <c r="H308" s="4" t="s">
        <v>115</v>
      </c>
      <c r="I308" s="4">
        <v>367.5</v>
      </c>
      <c r="J308" s="4" t="s">
        <v>13</v>
      </c>
      <c r="K308" s="4" t="s">
        <v>18</v>
      </c>
      <c r="L308" t="s">
        <v>586</v>
      </c>
      <c r="M308" s="9">
        <f t="shared" si="30"/>
        <v>459.40065149999998</v>
      </c>
      <c r="N308" t="s">
        <v>586</v>
      </c>
      <c r="O308" s="9">
        <v>459.4006</v>
      </c>
      <c r="P308" s="9">
        <f t="shared" si="31"/>
        <v>-5.1499999983661837E-5</v>
      </c>
      <c r="Q308" s="16">
        <f t="shared" si="32"/>
        <v>459.40065149999998</v>
      </c>
    </row>
    <row r="309" spans="1:17" x14ac:dyDescent="0.25">
      <c r="A309" s="3" t="s">
        <v>588</v>
      </c>
      <c r="B309" s="4" t="s">
        <v>589</v>
      </c>
      <c r="C309" s="12">
        <f t="shared" si="33"/>
        <v>19.837800000000001</v>
      </c>
      <c r="D309" s="4" t="s">
        <v>111</v>
      </c>
      <c r="E309" s="4" t="s">
        <v>14</v>
      </c>
      <c r="F309" s="4" t="s">
        <v>33</v>
      </c>
      <c r="G309" s="4" t="s">
        <v>34</v>
      </c>
      <c r="H309" s="4" t="s">
        <v>489</v>
      </c>
      <c r="I309" s="4">
        <v>19.260000000000002</v>
      </c>
      <c r="J309" s="4" t="s">
        <v>111</v>
      </c>
      <c r="K309" s="4" t="s">
        <v>18</v>
      </c>
      <c r="L309" t="s">
        <v>588</v>
      </c>
      <c r="M309" s="9">
        <f t="shared" si="30"/>
        <v>24.076344347999999</v>
      </c>
      <c r="N309">
        <v>0</v>
      </c>
      <c r="O309" s="9">
        <v>0</v>
      </c>
      <c r="P309" s="9">
        <f t="shared" si="31"/>
        <v>-24.076344347999999</v>
      </c>
      <c r="Q309" s="16">
        <f t="shared" si="32"/>
        <v>24.076344347999999</v>
      </c>
    </row>
    <row r="310" spans="1:17" x14ac:dyDescent="0.25">
      <c r="A310" s="3" t="s">
        <v>590</v>
      </c>
      <c r="B310" s="4" t="s">
        <v>591</v>
      </c>
      <c r="C310" s="12">
        <f t="shared" si="33"/>
        <v>19.837800000000001</v>
      </c>
      <c r="D310" s="4" t="s">
        <v>32</v>
      </c>
      <c r="E310" s="4" t="s">
        <v>14</v>
      </c>
      <c r="F310" s="4" t="s">
        <v>33</v>
      </c>
      <c r="G310" s="4" t="s">
        <v>34</v>
      </c>
      <c r="H310" s="4" t="s">
        <v>265</v>
      </c>
      <c r="I310" s="4">
        <v>19.260000000000002</v>
      </c>
      <c r="J310" s="4" t="s">
        <v>32</v>
      </c>
      <c r="K310" s="4" t="s">
        <v>18</v>
      </c>
      <c r="L310" t="s">
        <v>590</v>
      </c>
      <c r="M310" s="9">
        <f t="shared" si="30"/>
        <v>24.076344347999999</v>
      </c>
      <c r="N310">
        <v>0</v>
      </c>
      <c r="O310" s="9">
        <v>0</v>
      </c>
      <c r="P310" s="9">
        <f t="shared" si="31"/>
        <v>-24.076344347999999</v>
      </c>
      <c r="Q310" s="16">
        <f t="shared" si="32"/>
        <v>24.076344347999999</v>
      </c>
    </row>
    <row r="311" spans="1:17" x14ac:dyDescent="0.25">
      <c r="A311" s="3" t="s">
        <v>592</v>
      </c>
      <c r="B311" s="4" t="s">
        <v>593</v>
      </c>
      <c r="C311" s="12">
        <f t="shared" si="33"/>
        <v>36.956400000000002</v>
      </c>
      <c r="D311" s="4" t="s">
        <v>111</v>
      </c>
      <c r="E311" s="4" t="s">
        <v>14</v>
      </c>
      <c r="F311" s="4" t="s">
        <v>131</v>
      </c>
      <c r="G311" s="4" t="s">
        <v>132</v>
      </c>
      <c r="H311" s="4" t="s">
        <v>594</v>
      </c>
      <c r="I311" s="4">
        <v>35.880000000000003</v>
      </c>
      <c r="J311" s="4" t="s">
        <v>111</v>
      </c>
      <c r="K311" s="4" t="s">
        <v>18</v>
      </c>
      <c r="L311" t="s">
        <v>592</v>
      </c>
      <c r="M311" s="9">
        <f t="shared" si="30"/>
        <v>44.852504424000003</v>
      </c>
      <c r="N311" t="s">
        <v>592</v>
      </c>
      <c r="O311" s="9">
        <v>44.856499999999997</v>
      </c>
      <c r="P311" s="9">
        <f t="shared" si="31"/>
        <v>3.9955759999941165E-3</v>
      </c>
      <c r="Q311" s="16">
        <f t="shared" si="32"/>
        <v>44.852504424000003</v>
      </c>
    </row>
    <row r="312" spans="1:17" x14ac:dyDescent="0.25">
      <c r="A312" s="3" t="s">
        <v>595</v>
      </c>
      <c r="B312" s="4" t="s">
        <v>596</v>
      </c>
      <c r="C312" s="12">
        <f t="shared" si="33"/>
        <v>69.669200000000004</v>
      </c>
      <c r="D312" s="4" t="s">
        <v>111</v>
      </c>
      <c r="E312" s="4" t="s">
        <v>14</v>
      </c>
      <c r="F312" s="4" t="s">
        <v>131</v>
      </c>
      <c r="G312" s="4" t="s">
        <v>132</v>
      </c>
      <c r="H312" s="4" t="s">
        <v>594</v>
      </c>
      <c r="I312" s="4">
        <v>67.64</v>
      </c>
      <c r="J312" s="4" t="s">
        <v>111</v>
      </c>
      <c r="K312" s="4" t="s">
        <v>18</v>
      </c>
      <c r="L312" t="s">
        <v>595</v>
      </c>
      <c r="M312" s="9">
        <f t="shared" si="30"/>
        <v>84.554721271999995</v>
      </c>
      <c r="N312" t="s">
        <v>595</v>
      </c>
      <c r="O312" s="9">
        <v>84.552700000000002</v>
      </c>
      <c r="P312" s="9">
        <f t="shared" si="31"/>
        <v>-2.021271999993246E-3</v>
      </c>
      <c r="Q312" s="16">
        <f t="shared" si="32"/>
        <v>84.554721271999995</v>
      </c>
    </row>
    <row r="313" spans="1:17" x14ac:dyDescent="0.25">
      <c r="A313" s="3" t="s">
        <v>597</v>
      </c>
      <c r="B313" s="4" t="s">
        <v>598</v>
      </c>
      <c r="C313" s="12">
        <v>86.52</v>
      </c>
      <c r="D313" s="4" t="s">
        <v>13</v>
      </c>
      <c r="E313" s="4" t="s">
        <v>23</v>
      </c>
      <c r="F313" s="4" t="s">
        <v>49</v>
      </c>
      <c r="G313" s="4" t="s">
        <v>50</v>
      </c>
      <c r="H313" s="4" t="s">
        <v>50</v>
      </c>
      <c r="I313" s="4">
        <v>84</v>
      </c>
      <c r="J313" s="4" t="s">
        <v>13</v>
      </c>
      <c r="K313" s="4" t="s">
        <v>18</v>
      </c>
      <c r="L313" t="s">
        <v>597</v>
      </c>
      <c r="M313" s="9">
        <f t="shared" si="30"/>
        <v>105.00586319999999</v>
      </c>
      <c r="N313">
        <v>0</v>
      </c>
      <c r="O313" s="9">
        <v>0</v>
      </c>
      <c r="P313" s="9">
        <f t="shared" si="31"/>
        <v>-105.00586319999999</v>
      </c>
      <c r="Q313" s="16">
        <f t="shared" si="32"/>
        <v>105.00586319999999</v>
      </c>
    </row>
    <row r="314" spans="1:17" x14ac:dyDescent="0.25">
      <c r="A314" s="3">
        <v>1128801</v>
      </c>
      <c r="B314" s="4" t="s">
        <v>599</v>
      </c>
      <c r="C314" s="12">
        <f>I314*3%+I314</f>
        <v>165.19139999999999</v>
      </c>
      <c r="D314" s="4" t="s">
        <v>13</v>
      </c>
      <c r="E314" s="4"/>
      <c r="F314" s="4" t="s">
        <v>33</v>
      </c>
      <c r="G314" s="4" t="s">
        <v>34</v>
      </c>
      <c r="H314" s="4" t="s">
        <v>231</v>
      </c>
      <c r="I314" s="4">
        <v>160.38</v>
      </c>
      <c r="J314" s="4" t="s">
        <v>383</v>
      </c>
      <c r="K314" s="4" t="s">
        <v>18</v>
      </c>
      <c r="L314">
        <v>0</v>
      </c>
      <c r="M314" s="9">
        <f t="shared" si="30"/>
        <v>200.48619452399998</v>
      </c>
      <c r="N314">
        <v>0</v>
      </c>
      <c r="O314" s="9">
        <v>0</v>
      </c>
      <c r="P314" s="9">
        <f t="shared" si="31"/>
        <v>-200.48619452399998</v>
      </c>
      <c r="Q314" s="16">
        <f t="shared" si="32"/>
        <v>200.48619452399998</v>
      </c>
    </row>
    <row r="315" spans="1:17" x14ac:dyDescent="0.25">
      <c r="A315" s="3">
        <v>1122501</v>
      </c>
      <c r="B315" s="4" t="s">
        <v>600</v>
      </c>
      <c r="C315" s="12">
        <f t="shared" ref="C315:C336" si="34">I315*3%+I315</f>
        <v>118.65600000000001</v>
      </c>
      <c r="D315" s="4" t="s">
        <v>13</v>
      </c>
      <c r="E315" s="4"/>
      <c r="F315" s="4" t="s">
        <v>33</v>
      </c>
      <c r="G315" s="4" t="s">
        <v>34</v>
      </c>
      <c r="H315" s="4" t="s">
        <v>231</v>
      </c>
      <c r="I315" s="4">
        <v>115.2</v>
      </c>
      <c r="J315" s="4" t="s">
        <v>383</v>
      </c>
      <c r="K315" s="4" t="s">
        <v>18</v>
      </c>
      <c r="L315">
        <v>0</v>
      </c>
      <c r="M315" s="9">
        <f t="shared" si="30"/>
        <v>144.00804096000002</v>
      </c>
      <c r="N315">
        <v>0</v>
      </c>
      <c r="O315" s="9">
        <v>0</v>
      </c>
      <c r="P315" s="9">
        <f t="shared" si="31"/>
        <v>-144.00804096000002</v>
      </c>
      <c r="Q315" s="16">
        <f t="shared" si="32"/>
        <v>144.00804096000002</v>
      </c>
    </row>
    <row r="316" spans="1:17" x14ac:dyDescent="0.25">
      <c r="A316" s="3" t="s">
        <v>601</v>
      </c>
      <c r="B316" s="4" t="s">
        <v>602</v>
      </c>
      <c r="C316" s="12">
        <f t="shared" si="34"/>
        <v>17.695399999999999</v>
      </c>
      <c r="D316" s="4" t="s">
        <v>124</v>
      </c>
      <c r="E316" s="4" t="s">
        <v>14</v>
      </c>
      <c r="F316" s="4" t="s">
        <v>603</v>
      </c>
      <c r="G316" s="4" t="s">
        <v>604</v>
      </c>
      <c r="H316" s="4" t="s">
        <v>605</v>
      </c>
      <c r="I316" s="4">
        <v>17.18</v>
      </c>
      <c r="J316" s="4" t="s">
        <v>124</v>
      </c>
      <c r="K316" s="4" t="s">
        <v>18</v>
      </c>
      <c r="L316" t="s">
        <v>601</v>
      </c>
      <c r="M316" s="9">
        <f t="shared" si="30"/>
        <v>21.476199163999997</v>
      </c>
      <c r="N316">
        <v>0</v>
      </c>
      <c r="O316" s="9">
        <v>0</v>
      </c>
      <c r="P316" s="9">
        <f t="shared" si="31"/>
        <v>-21.476199163999997</v>
      </c>
      <c r="Q316" s="16">
        <f t="shared" si="32"/>
        <v>21.476199163999997</v>
      </c>
    </row>
    <row r="317" spans="1:17" x14ac:dyDescent="0.25">
      <c r="A317" s="3" t="s">
        <v>606</v>
      </c>
      <c r="B317" s="4" t="s">
        <v>607</v>
      </c>
      <c r="C317" s="12">
        <f t="shared" si="34"/>
        <v>75.704999999999998</v>
      </c>
      <c r="D317" s="4" t="s">
        <v>13</v>
      </c>
      <c r="E317" s="4" t="s">
        <v>14</v>
      </c>
      <c r="F317" s="4" t="s">
        <v>15</v>
      </c>
      <c r="G317" s="4" t="s">
        <v>16</v>
      </c>
      <c r="H317" s="4" t="s">
        <v>17</v>
      </c>
      <c r="I317" s="4">
        <v>73.5</v>
      </c>
      <c r="J317" s="4" t="s">
        <v>13</v>
      </c>
      <c r="K317" s="4" t="s">
        <v>18</v>
      </c>
      <c r="L317" t="s">
        <v>606</v>
      </c>
      <c r="M317" s="9">
        <f t="shared" si="30"/>
        <v>91.88013029999999</v>
      </c>
      <c r="N317">
        <v>0</v>
      </c>
      <c r="O317" s="9">
        <v>0</v>
      </c>
      <c r="P317" s="9">
        <f t="shared" si="31"/>
        <v>-91.88013029999999</v>
      </c>
      <c r="Q317" s="16">
        <f t="shared" si="32"/>
        <v>91.88013029999999</v>
      </c>
    </row>
    <row r="318" spans="1:17" x14ac:dyDescent="0.25">
      <c r="A318" s="3" t="s">
        <v>608</v>
      </c>
      <c r="B318" s="4" t="s">
        <v>609</v>
      </c>
      <c r="C318" s="12">
        <f t="shared" si="34"/>
        <v>54.075000000000003</v>
      </c>
      <c r="D318" s="4" t="s">
        <v>13</v>
      </c>
      <c r="E318" s="4" t="s">
        <v>23</v>
      </c>
      <c r="F318" s="4" t="s">
        <v>49</v>
      </c>
      <c r="G318" s="4" t="s">
        <v>50</v>
      </c>
      <c r="H318" s="4" t="s">
        <v>50</v>
      </c>
      <c r="I318" s="4">
        <v>52.5</v>
      </c>
      <c r="J318" s="4" t="s">
        <v>13</v>
      </c>
      <c r="K318" s="4" t="s">
        <v>18</v>
      </c>
      <c r="L318" t="s">
        <v>608</v>
      </c>
      <c r="M318" s="9">
        <f t="shared" si="30"/>
        <v>65.628664499999999</v>
      </c>
      <c r="N318">
        <v>0</v>
      </c>
      <c r="O318" s="9">
        <v>0</v>
      </c>
      <c r="P318" s="9">
        <f t="shared" si="31"/>
        <v>-65.628664499999999</v>
      </c>
      <c r="Q318" s="16">
        <f t="shared" si="32"/>
        <v>65.628664499999999</v>
      </c>
    </row>
    <row r="319" spans="1:17" x14ac:dyDescent="0.25">
      <c r="A319" s="3" t="s">
        <v>610</v>
      </c>
      <c r="B319" s="4" t="s">
        <v>611</v>
      </c>
      <c r="C319" s="12">
        <f t="shared" si="34"/>
        <v>55.280100000000004</v>
      </c>
      <c r="D319" s="4" t="s">
        <v>32</v>
      </c>
      <c r="E319" s="4" t="s">
        <v>14</v>
      </c>
      <c r="F319" s="4" t="s">
        <v>15</v>
      </c>
      <c r="G319" s="4" t="s">
        <v>16</v>
      </c>
      <c r="H319" s="4" t="s">
        <v>17</v>
      </c>
      <c r="I319" s="4">
        <v>53.67</v>
      </c>
      <c r="J319" s="4" t="s">
        <v>32</v>
      </c>
      <c r="K319" s="4" t="s">
        <v>18</v>
      </c>
      <c r="L319" t="s">
        <v>610</v>
      </c>
      <c r="M319" s="9">
        <f t="shared" si="30"/>
        <v>67.091246166000005</v>
      </c>
      <c r="N319">
        <v>0</v>
      </c>
      <c r="O319" s="9">
        <v>0</v>
      </c>
      <c r="P319" s="9">
        <f t="shared" si="31"/>
        <v>-67.091246166000005</v>
      </c>
      <c r="Q319" s="16">
        <f t="shared" si="32"/>
        <v>67.091246166000005</v>
      </c>
    </row>
    <row r="320" spans="1:17" x14ac:dyDescent="0.25">
      <c r="A320" s="3" t="s">
        <v>612</v>
      </c>
      <c r="B320" s="4" t="s">
        <v>613</v>
      </c>
      <c r="C320" s="12">
        <f t="shared" si="34"/>
        <v>66.321700000000007</v>
      </c>
      <c r="D320" s="4" t="s">
        <v>32</v>
      </c>
      <c r="E320" s="4" t="s">
        <v>14</v>
      </c>
      <c r="F320" s="4" t="s">
        <v>15</v>
      </c>
      <c r="G320" s="4" t="s">
        <v>16</v>
      </c>
      <c r="H320" s="4" t="s">
        <v>17</v>
      </c>
      <c r="I320" s="4">
        <v>64.39</v>
      </c>
      <c r="J320" s="4" t="s">
        <v>32</v>
      </c>
      <c r="K320" s="4" t="s">
        <v>18</v>
      </c>
      <c r="L320" t="s">
        <v>612</v>
      </c>
      <c r="M320" s="9">
        <f t="shared" si="30"/>
        <v>80.491994422000005</v>
      </c>
      <c r="N320" t="s">
        <v>612</v>
      </c>
      <c r="O320" s="9">
        <v>9.6820000000000004</v>
      </c>
      <c r="P320" s="9">
        <f t="shared" si="31"/>
        <v>-70.809994422000003</v>
      </c>
      <c r="Q320" s="16">
        <f t="shared" si="32"/>
        <v>80.491994422000005</v>
      </c>
    </row>
    <row r="321" spans="1:17" x14ac:dyDescent="0.25">
      <c r="A321" s="3" t="s">
        <v>614</v>
      </c>
      <c r="B321" s="4" t="s">
        <v>615</v>
      </c>
      <c r="C321" s="12">
        <f t="shared" si="34"/>
        <v>0</v>
      </c>
      <c r="D321" s="4" t="s">
        <v>383</v>
      </c>
      <c r="E321" s="4" t="s">
        <v>14</v>
      </c>
      <c r="F321" s="4" t="s">
        <v>33</v>
      </c>
      <c r="G321" s="4" t="s">
        <v>34</v>
      </c>
      <c r="H321" s="4" t="s">
        <v>35</v>
      </c>
      <c r="I321" s="4"/>
      <c r="J321" s="4" t="s">
        <v>383</v>
      </c>
      <c r="K321" s="4" t="s">
        <v>18</v>
      </c>
      <c r="L321">
        <v>0</v>
      </c>
      <c r="M321" s="9">
        <f t="shared" si="30"/>
        <v>0</v>
      </c>
      <c r="N321">
        <v>0</v>
      </c>
      <c r="O321" s="9">
        <v>0</v>
      </c>
      <c r="P321" s="9">
        <f t="shared" si="31"/>
        <v>0</v>
      </c>
      <c r="Q321" s="16">
        <f t="shared" si="32"/>
        <v>0</v>
      </c>
    </row>
    <row r="322" spans="1:17" x14ac:dyDescent="0.25">
      <c r="A322" s="3" t="s">
        <v>616</v>
      </c>
      <c r="B322" s="4" t="s">
        <v>615</v>
      </c>
      <c r="C322" s="12">
        <f t="shared" si="34"/>
        <v>82.812000000000012</v>
      </c>
      <c r="D322" s="4" t="s">
        <v>383</v>
      </c>
      <c r="E322" s="4"/>
      <c r="F322" s="4" t="s">
        <v>33</v>
      </c>
      <c r="G322" s="4" t="s">
        <v>34</v>
      </c>
      <c r="H322" s="4" t="s">
        <v>35</v>
      </c>
      <c r="I322" s="4">
        <v>80.400000000000006</v>
      </c>
      <c r="J322" s="4" t="s">
        <v>383</v>
      </c>
      <c r="K322" s="4" t="s">
        <v>18</v>
      </c>
      <c r="L322" t="s">
        <v>616</v>
      </c>
      <c r="M322" s="9">
        <f t="shared" si="30"/>
        <v>100.50561192000001</v>
      </c>
      <c r="N322" t="s">
        <v>616</v>
      </c>
      <c r="O322" s="9">
        <v>84.861699999999999</v>
      </c>
      <c r="P322" s="9">
        <f t="shared" si="31"/>
        <v>-15.643911920000008</v>
      </c>
      <c r="Q322" s="16">
        <f t="shared" si="32"/>
        <v>100.50561192000001</v>
      </c>
    </row>
    <row r="323" spans="1:17" x14ac:dyDescent="0.25">
      <c r="A323" s="3" t="s">
        <v>617</v>
      </c>
      <c r="B323" s="4" t="s">
        <v>618</v>
      </c>
      <c r="C323" s="12">
        <f t="shared" si="34"/>
        <v>82.812000000000012</v>
      </c>
      <c r="D323" s="4" t="s">
        <v>191</v>
      </c>
      <c r="E323" s="4" t="s">
        <v>14</v>
      </c>
      <c r="F323" s="4" t="s">
        <v>33</v>
      </c>
      <c r="G323" s="4" t="s">
        <v>34</v>
      </c>
      <c r="H323" s="4" t="s">
        <v>35</v>
      </c>
      <c r="I323" s="4">
        <v>80.400000000000006</v>
      </c>
      <c r="J323" s="4" t="s">
        <v>191</v>
      </c>
      <c r="K323" s="4" t="s">
        <v>18</v>
      </c>
      <c r="L323" t="s">
        <v>617</v>
      </c>
      <c r="M323" s="9">
        <f t="shared" ref="M323:M386" si="35">C323*1.21366</f>
        <v>100.50561192000001</v>
      </c>
      <c r="N323" t="s">
        <v>617</v>
      </c>
      <c r="O323" s="9">
        <v>25.2453</v>
      </c>
      <c r="P323" s="9">
        <f t="shared" ref="P323:P386" si="36">O323-M323</f>
        <v>-75.260311920000007</v>
      </c>
      <c r="Q323" s="16">
        <f t="shared" si="32"/>
        <v>100.50561192000001</v>
      </c>
    </row>
    <row r="324" spans="1:17" x14ac:dyDescent="0.25">
      <c r="A324" s="3" t="s">
        <v>619</v>
      </c>
      <c r="B324" s="4" t="s">
        <v>620</v>
      </c>
      <c r="C324" s="12">
        <f t="shared" si="34"/>
        <v>54.5488</v>
      </c>
      <c r="D324" s="4" t="s">
        <v>111</v>
      </c>
      <c r="E324" s="4" t="s">
        <v>14</v>
      </c>
      <c r="F324" s="4" t="s">
        <v>33</v>
      </c>
      <c r="G324" s="4" t="s">
        <v>34</v>
      </c>
      <c r="H324" s="4" t="s">
        <v>265</v>
      </c>
      <c r="I324" s="4">
        <v>52.96</v>
      </c>
      <c r="J324" s="4" t="s">
        <v>111</v>
      </c>
      <c r="K324" s="4" t="s">
        <v>18</v>
      </c>
      <c r="L324" t="s">
        <v>619</v>
      </c>
      <c r="M324" s="9">
        <f t="shared" si="35"/>
        <v>66.203696608000001</v>
      </c>
      <c r="N324">
        <v>0</v>
      </c>
      <c r="O324" s="9">
        <v>0</v>
      </c>
      <c r="P324" s="9">
        <f t="shared" si="36"/>
        <v>-66.203696608000001</v>
      </c>
      <c r="Q324" s="16">
        <f t="shared" si="32"/>
        <v>66.203696608000001</v>
      </c>
    </row>
    <row r="325" spans="1:17" x14ac:dyDescent="0.25">
      <c r="A325" s="3" t="s">
        <v>621</v>
      </c>
      <c r="B325" s="4" t="s">
        <v>622</v>
      </c>
      <c r="C325" s="12">
        <f t="shared" si="34"/>
        <v>12.875</v>
      </c>
      <c r="D325" s="4" t="s">
        <v>191</v>
      </c>
      <c r="E325" s="4" t="s">
        <v>14</v>
      </c>
      <c r="F325" s="4" t="s">
        <v>33</v>
      </c>
      <c r="G325" s="4" t="s">
        <v>34</v>
      </c>
      <c r="H325" s="4" t="s">
        <v>270</v>
      </c>
      <c r="I325" s="4">
        <v>12.5</v>
      </c>
      <c r="J325" s="4" t="s">
        <v>191</v>
      </c>
      <c r="K325" s="4" t="s">
        <v>18</v>
      </c>
      <c r="L325" t="s">
        <v>621</v>
      </c>
      <c r="M325" s="9">
        <f t="shared" si="35"/>
        <v>15.6258725</v>
      </c>
      <c r="N325" t="s">
        <v>621</v>
      </c>
      <c r="O325" s="9">
        <v>82.4</v>
      </c>
      <c r="P325" s="9">
        <f t="shared" si="36"/>
        <v>66.774127500000006</v>
      </c>
      <c r="Q325" s="16">
        <f t="shared" si="32"/>
        <v>15.6258725</v>
      </c>
    </row>
    <row r="326" spans="1:17" x14ac:dyDescent="0.25">
      <c r="A326" s="3" t="s">
        <v>623</v>
      </c>
      <c r="B326" s="4" t="s">
        <v>624</v>
      </c>
      <c r="C326" s="12">
        <f t="shared" si="34"/>
        <v>31.394400000000001</v>
      </c>
      <c r="D326" s="4" t="s">
        <v>191</v>
      </c>
      <c r="E326" s="4" t="s">
        <v>14</v>
      </c>
      <c r="F326" s="4" t="s">
        <v>33</v>
      </c>
      <c r="G326" s="4" t="s">
        <v>34</v>
      </c>
      <c r="H326" s="4" t="s">
        <v>35</v>
      </c>
      <c r="I326" s="4">
        <v>30.48</v>
      </c>
      <c r="J326" s="4" t="s">
        <v>191</v>
      </c>
      <c r="K326" s="4" t="s">
        <v>18</v>
      </c>
      <c r="L326" t="s">
        <v>623</v>
      </c>
      <c r="M326" s="9">
        <f t="shared" si="35"/>
        <v>38.102127504000002</v>
      </c>
      <c r="N326">
        <v>0</v>
      </c>
      <c r="O326" s="9">
        <v>0</v>
      </c>
      <c r="P326" s="9">
        <f t="shared" si="36"/>
        <v>-38.102127504000002</v>
      </c>
      <c r="Q326" s="16">
        <f t="shared" si="32"/>
        <v>38.102127504000002</v>
      </c>
    </row>
    <row r="327" spans="1:17" x14ac:dyDescent="0.25">
      <c r="A327" s="3" t="s">
        <v>625</v>
      </c>
      <c r="B327" s="4" t="s">
        <v>626</v>
      </c>
      <c r="C327" s="12">
        <f t="shared" si="34"/>
        <v>17.643899999999999</v>
      </c>
      <c r="D327" s="4" t="s">
        <v>32</v>
      </c>
      <c r="E327" s="4" t="s">
        <v>14</v>
      </c>
      <c r="F327" s="4" t="s">
        <v>15</v>
      </c>
      <c r="G327" s="4" t="s">
        <v>16</v>
      </c>
      <c r="H327" s="4" t="s">
        <v>17</v>
      </c>
      <c r="I327" s="4">
        <v>17.13</v>
      </c>
      <c r="J327" s="4" t="s">
        <v>32</v>
      </c>
      <c r="K327" s="4" t="s">
        <v>18</v>
      </c>
      <c r="L327" t="s">
        <v>625</v>
      </c>
      <c r="M327" s="9">
        <f t="shared" si="35"/>
        <v>21.413695673999996</v>
      </c>
      <c r="N327">
        <v>0</v>
      </c>
      <c r="O327" s="9">
        <v>0</v>
      </c>
      <c r="P327" s="9">
        <f t="shared" si="36"/>
        <v>-21.413695673999996</v>
      </c>
      <c r="Q327" s="16">
        <f t="shared" si="32"/>
        <v>21.413695673999996</v>
      </c>
    </row>
    <row r="328" spans="1:17" x14ac:dyDescent="0.25">
      <c r="A328" s="3" t="s">
        <v>627</v>
      </c>
      <c r="B328" s="4" t="s">
        <v>628</v>
      </c>
      <c r="C328" s="12">
        <f t="shared" si="34"/>
        <v>16.4285</v>
      </c>
      <c r="D328" s="4" t="s">
        <v>32</v>
      </c>
      <c r="E328" s="4" t="s">
        <v>14</v>
      </c>
      <c r="F328" s="4" t="s">
        <v>15</v>
      </c>
      <c r="G328" s="4" t="s">
        <v>16</v>
      </c>
      <c r="H328" s="4" t="s">
        <v>17</v>
      </c>
      <c r="I328" s="4">
        <v>15.95</v>
      </c>
      <c r="J328" s="4" t="s">
        <v>32</v>
      </c>
      <c r="K328" s="4" t="s">
        <v>18</v>
      </c>
      <c r="L328" t="s">
        <v>627</v>
      </c>
      <c r="M328" s="9">
        <f t="shared" si="35"/>
        <v>19.938613309999997</v>
      </c>
      <c r="N328">
        <v>0</v>
      </c>
      <c r="O328" s="9">
        <v>0</v>
      </c>
      <c r="P328" s="9">
        <f t="shared" si="36"/>
        <v>-19.938613309999997</v>
      </c>
      <c r="Q328" s="16">
        <f t="shared" si="32"/>
        <v>19.938613309999997</v>
      </c>
    </row>
    <row r="329" spans="1:17" x14ac:dyDescent="0.25">
      <c r="A329" s="3" t="s">
        <v>629</v>
      </c>
      <c r="B329" s="4" t="s">
        <v>630</v>
      </c>
      <c r="C329" s="12">
        <f t="shared" si="34"/>
        <v>18.107399999999998</v>
      </c>
      <c r="D329" s="4" t="s">
        <v>32</v>
      </c>
      <c r="E329" s="4" t="s">
        <v>14</v>
      </c>
      <c r="F329" s="4" t="s">
        <v>15</v>
      </c>
      <c r="G329" s="4" t="s">
        <v>16</v>
      </c>
      <c r="H329" s="4" t="s">
        <v>17</v>
      </c>
      <c r="I329" s="4">
        <v>17.579999999999998</v>
      </c>
      <c r="J329" s="4" t="s">
        <v>32</v>
      </c>
      <c r="K329" s="4" t="s">
        <v>18</v>
      </c>
      <c r="L329" t="s">
        <v>629</v>
      </c>
      <c r="M329" s="9">
        <f t="shared" si="35"/>
        <v>21.976227083999998</v>
      </c>
      <c r="N329" t="s">
        <v>629</v>
      </c>
      <c r="O329" s="9">
        <v>6.9318999999999997</v>
      </c>
      <c r="P329" s="9">
        <f t="shared" si="36"/>
        <v>-15.044327083999999</v>
      </c>
      <c r="Q329" s="16">
        <f t="shared" si="32"/>
        <v>21.976227083999998</v>
      </c>
    </row>
    <row r="330" spans="1:17" x14ac:dyDescent="0.25">
      <c r="A330" s="3" t="s">
        <v>631</v>
      </c>
      <c r="B330" s="4" t="s">
        <v>632</v>
      </c>
      <c r="C330" s="12">
        <f t="shared" si="34"/>
        <v>22.248000000000001</v>
      </c>
      <c r="D330" s="4" t="s">
        <v>32</v>
      </c>
      <c r="E330" s="4" t="s">
        <v>14</v>
      </c>
      <c r="F330" s="4" t="s">
        <v>15</v>
      </c>
      <c r="G330" s="4" t="s">
        <v>16</v>
      </c>
      <c r="H330" s="4" t="s">
        <v>17</v>
      </c>
      <c r="I330" s="4">
        <v>21.6</v>
      </c>
      <c r="J330" s="4" t="s">
        <v>32</v>
      </c>
      <c r="K330" s="4" t="s">
        <v>18</v>
      </c>
      <c r="L330" t="s">
        <v>631</v>
      </c>
      <c r="M330" s="9">
        <f t="shared" si="35"/>
        <v>27.00150768</v>
      </c>
      <c r="N330">
        <v>0</v>
      </c>
      <c r="O330" s="9">
        <v>0</v>
      </c>
      <c r="P330" s="9">
        <f t="shared" si="36"/>
        <v>-27.00150768</v>
      </c>
      <c r="Q330" s="16">
        <f t="shared" si="32"/>
        <v>27.00150768</v>
      </c>
    </row>
    <row r="331" spans="1:17" x14ac:dyDescent="0.25">
      <c r="A331" s="3" t="s">
        <v>633</v>
      </c>
      <c r="B331" s="4" t="s">
        <v>634</v>
      </c>
      <c r="C331" s="12">
        <f t="shared" si="34"/>
        <v>28.613400000000002</v>
      </c>
      <c r="D331" s="4" t="s">
        <v>191</v>
      </c>
      <c r="E331" s="4" t="s">
        <v>14</v>
      </c>
      <c r="F331" s="4" t="s">
        <v>33</v>
      </c>
      <c r="G331" s="4" t="s">
        <v>34</v>
      </c>
      <c r="H331" s="4" t="s">
        <v>270</v>
      </c>
      <c r="I331" s="4">
        <v>27.78</v>
      </c>
      <c r="J331" s="4" t="s">
        <v>191</v>
      </c>
      <c r="K331" s="4" t="s">
        <v>18</v>
      </c>
      <c r="L331" t="s">
        <v>633</v>
      </c>
      <c r="M331" s="9">
        <f t="shared" si="35"/>
        <v>34.726939043999998</v>
      </c>
      <c r="N331">
        <v>0</v>
      </c>
      <c r="O331" s="9">
        <v>0</v>
      </c>
      <c r="P331" s="9">
        <f t="shared" si="36"/>
        <v>-34.726939043999998</v>
      </c>
      <c r="Q331" s="16">
        <f t="shared" si="32"/>
        <v>34.726939043999998</v>
      </c>
    </row>
    <row r="332" spans="1:17" x14ac:dyDescent="0.25">
      <c r="A332" s="3" t="s">
        <v>635</v>
      </c>
      <c r="B332" s="4" t="s">
        <v>636</v>
      </c>
      <c r="C332" s="12">
        <f t="shared" si="34"/>
        <v>164.8</v>
      </c>
      <c r="D332" s="4" t="s">
        <v>383</v>
      </c>
      <c r="E332" s="4" t="s">
        <v>14</v>
      </c>
      <c r="F332" s="4" t="s">
        <v>33</v>
      </c>
      <c r="G332" s="4" t="s">
        <v>34</v>
      </c>
      <c r="H332" s="4" t="s">
        <v>35</v>
      </c>
      <c r="I332" s="4">
        <v>160</v>
      </c>
      <c r="J332" s="4" t="s">
        <v>383</v>
      </c>
      <c r="K332" s="4" t="s">
        <v>18</v>
      </c>
      <c r="L332" t="s">
        <v>635</v>
      </c>
      <c r="M332" s="9">
        <f t="shared" si="35"/>
        <v>200.011168</v>
      </c>
      <c r="N332">
        <v>0</v>
      </c>
      <c r="O332" s="9">
        <v>0</v>
      </c>
      <c r="P332" s="9">
        <f t="shared" si="36"/>
        <v>-200.011168</v>
      </c>
      <c r="Q332" s="16">
        <f t="shared" si="32"/>
        <v>200.011168</v>
      </c>
    </row>
    <row r="333" spans="1:17" x14ac:dyDescent="0.25">
      <c r="A333" s="3" t="s">
        <v>637</v>
      </c>
      <c r="B333" s="4" t="s">
        <v>638</v>
      </c>
      <c r="C333" s="12">
        <f t="shared" si="34"/>
        <v>9.9189000000000007</v>
      </c>
      <c r="D333" s="4" t="s">
        <v>32</v>
      </c>
      <c r="E333" s="4" t="s">
        <v>14</v>
      </c>
      <c r="F333" s="4" t="s">
        <v>33</v>
      </c>
      <c r="G333" s="4" t="s">
        <v>34</v>
      </c>
      <c r="H333" s="4" t="s">
        <v>265</v>
      </c>
      <c r="I333" s="4">
        <v>9.6300000000000008</v>
      </c>
      <c r="J333" s="4" t="s">
        <v>32</v>
      </c>
      <c r="K333" s="4" t="s">
        <v>18</v>
      </c>
      <c r="L333" t="s">
        <v>637</v>
      </c>
      <c r="M333" s="9">
        <f t="shared" si="35"/>
        <v>12.038172174</v>
      </c>
      <c r="N333">
        <v>0</v>
      </c>
      <c r="O333" s="9">
        <v>0</v>
      </c>
      <c r="P333" s="9">
        <f t="shared" si="36"/>
        <v>-12.038172174</v>
      </c>
      <c r="Q333" s="16">
        <f t="shared" si="32"/>
        <v>12.038172174</v>
      </c>
    </row>
    <row r="334" spans="1:17" x14ac:dyDescent="0.25">
      <c r="A334" s="3" t="s">
        <v>639</v>
      </c>
      <c r="B334" s="4" t="s">
        <v>640</v>
      </c>
      <c r="C334" s="12">
        <f t="shared" si="34"/>
        <v>15.6251</v>
      </c>
      <c r="D334" s="4" t="s">
        <v>111</v>
      </c>
      <c r="E334" s="4" t="s">
        <v>14</v>
      </c>
      <c r="F334" s="4" t="s">
        <v>33</v>
      </c>
      <c r="G334" s="4" t="s">
        <v>34</v>
      </c>
      <c r="H334" s="4" t="s">
        <v>265</v>
      </c>
      <c r="I334" s="4">
        <v>15.17</v>
      </c>
      <c r="J334" s="4" t="s">
        <v>111</v>
      </c>
      <c r="K334" s="4" t="s">
        <v>18</v>
      </c>
      <c r="L334" t="s">
        <v>639</v>
      </c>
      <c r="M334" s="9">
        <f t="shared" si="35"/>
        <v>18.963558866</v>
      </c>
      <c r="N334">
        <v>0</v>
      </c>
      <c r="O334" s="9">
        <v>0</v>
      </c>
      <c r="P334" s="9">
        <f t="shared" si="36"/>
        <v>-18.963558866</v>
      </c>
      <c r="Q334" s="16">
        <f t="shared" si="32"/>
        <v>18.963558866</v>
      </c>
    </row>
    <row r="335" spans="1:17" x14ac:dyDescent="0.25">
      <c r="A335" s="3" t="s">
        <v>641</v>
      </c>
      <c r="B335" s="4" t="s">
        <v>642</v>
      </c>
      <c r="C335" s="12">
        <f t="shared" si="34"/>
        <v>32.96</v>
      </c>
      <c r="D335" s="4" t="s">
        <v>191</v>
      </c>
      <c r="E335" s="4" t="s">
        <v>14</v>
      </c>
      <c r="F335" s="4" t="s">
        <v>33</v>
      </c>
      <c r="G335" s="4" t="s">
        <v>34</v>
      </c>
      <c r="H335" s="4" t="s">
        <v>35</v>
      </c>
      <c r="I335" s="4">
        <v>32</v>
      </c>
      <c r="J335" s="4" t="s">
        <v>191</v>
      </c>
      <c r="K335" s="4" t="s">
        <v>18</v>
      </c>
      <c r="L335" t="s">
        <v>641</v>
      </c>
      <c r="M335" s="9">
        <f t="shared" si="35"/>
        <v>40.002233599999997</v>
      </c>
      <c r="N335">
        <v>0</v>
      </c>
      <c r="O335" s="9">
        <v>0</v>
      </c>
      <c r="P335" s="9">
        <f t="shared" si="36"/>
        <v>-40.002233599999997</v>
      </c>
      <c r="Q335" s="16">
        <f t="shared" si="32"/>
        <v>40.002233599999997</v>
      </c>
    </row>
    <row r="336" spans="1:17" x14ac:dyDescent="0.25">
      <c r="A336" s="3" t="s">
        <v>643</v>
      </c>
      <c r="B336" s="4" t="s">
        <v>644</v>
      </c>
      <c r="C336" s="12">
        <f t="shared" si="34"/>
        <v>10.114599999999999</v>
      </c>
      <c r="D336" s="4" t="s">
        <v>379</v>
      </c>
      <c r="E336" s="4" t="s">
        <v>14</v>
      </c>
      <c r="F336" s="4" t="s">
        <v>33</v>
      </c>
      <c r="G336" s="4" t="s">
        <v>34</v>
      </c>
      <c r="H336" s="4" t="s">
        <v>76</v>
      </c>
      <c r="I336" s="4">
        <v>9.82</v>
      </c>
      <c r="J336" s="4" t="s">
        <v>379</v>
      </c>
      <c r="K336" s="4" t="s">
        <v>18</v>
      </c>
      <c r="L336" t="s">
        <v>643</v>
      </c>
      <c r="M336" s="9">
        <f t="shared" si="35"/>
        <v>12.275685435999998</v>
      </c>
      <c r="N336" t="s">
        <v>643</v>
      </c>
      <c r="O336" s="9">
        <v>12.2776</v>
      </c>
      <c r="P336" s="9">
        <f t="shared" si="36"/>
        <v>1.9145640000015618E-3</v>
      </c>
      <c r="Q336" s="16">
        <f t="shared" si="32"/>
        <v>12.275685435999998</v>
      </c>
    </row>
    <row r="337" spans="1:17" x14ac:dyDescent="0.25">
      <c r="A337" s="3">
        <v>937025</v>
      </c>
      <c r="B337" s="4" t="s">
        <v>645</v>
      </c>
      <c r="C337" s="12">
        <v>20</v>
      </c>
      <c r="D337" s="4" t="s">
        <v>32</v>
      </c>
      <c r="E337" s="4" t="s">
        <v>14</v>
      </c>
      <c r="F337" s="4" t="s">
        <v>33</v>
      </c>
      <c r="G337" s="4" t="s">
        <v>34</v>
      </c>
      <c r="H337" s="4" t="s">
        <v>265</v>
      </c>
      <c r="I337" s="4">
        <v>1.05</v>
      </c>
      <c r="J337" s="4" t="s">
        <v>331</v>
      </c>
      <c r="K337" s="4" t="s">
        <v>18</v>
      </c>
      <c r="L337">
        <v>0</v>
      </c>
      <c r="M337" s="9">
        <f t="shared" si="35"/>
        <v>24.273199999999999</v>
      </c>
      <c r="N337">
        <v>0</v>
      </c>
      <c r="O337" s="9">
        <v>0</v>
      </c>
      <c r="P337" s="9">
        <f t="shared" si="36"/>
        <v>-24.273199999999999</v>
      </c>
      <c r="Q337" s="16">
        <f t="shared" si="32"/>
        <v>24.273199999999999</v>
      </c>
    </row>
    <row r="338" spans="1:17" x14ac:dyDescent="0.25">
      <c r="A338" s="3">
        <v>937125</v>
      </c>
      <c r="B338" s="4" t="s">
        <v>646</v>
      </c>
      <c r="C338" s="12">
        <v>37.85</v>
      </c>
      <c r="D338" s="4" t="s">
        <v>32</v>
      </c>
      <c r="E338" s="4" t="s">
        <v>14</v>
      </c>
      <c r="F338" s="4" t="s">
        <v>33</v>
      </c>
      <c r="G338" s="4" t="s">
        <v>34</v>
      </c>
      <c r="H338" s="4" t="s">
        <v>265</v>
      </c>
      <c r="I338" s="4">
        <v>1.47</v>
      </c>
      <c r="J338" s="4" t="s">
        <v>331</v>
      </c>
      <c r="K338" s="4" t="s">
        <v>18</v>
      </c>
      <c r="L338">
        <v>0</v>
      </c>
      <c r="M338" s="9">
        <f t="shared" si="35"/>
        <v>45.937030999999998</v>
      </c>
      <c r="N338">
        <v>0</v>
      </c>
      <c r="O338" s="9">
        <v>0</v>
      </c>
      <c r="P338" s="9">
        <f t="shared" si="36"/>
        <v>-45.937030999999998</v>
      </c>
      <c r="Q338" s="16">
        <f t="shared" si="32"/>
        <v>45.937030999999998</v>
      </c>
    </row>
    <row r="339" spans="1:17" x14ac:dyDescent="0.25">
      <c r="A339" s="3">
        <v>935225</v>
      </c>
      <c r="B339" s="4" t="s">
        <v>647</v>
      </c>
      <c r="C339" s="12">
        <v>43.26</v>
      </c>
      <c r="D339" s="4" t="s">
        <v>32</v>
      </c>
      <c r="E339" s="4"/>
      <c r="F339" s="4" t="s">
        <v>33</v>
      </c>
      <c r="G339" s="4" t="s">
        <v>34</v>
      </c>
      <c r="H339" s="4" t="s">
        <v>265</v>
      </c>
      <c r="I339" s="4">
        <v>42</v>
      </c>
      <c r="J339" s="4" t="s">
        <v>32</v>
      </c>
      <c r="K339" s="4" t="s">
        <v>18</v>
      </c>
      <c r="L339">
        <v>0</v>
      </c>
      <c r="M339" s="9">
        <f t="shared" si="35"/>
        <v>52.502931599999997</v>
      </c>
      <c r="N339">
        <v>0</v>
      </c>
      <c r="O339" s="9">
        <v>0</v>
      </c>
      <c r="P339" s="9">
        <f t="shared" si="36"/>
        <v>-52.502931599999997</v>
      </c>
      <c r="Q339" s="16">
        <f t="shared" si="32"/>
        <v>52.502931599999997</v>
      </c>
    </row>
    <row r="340" spans="1:17" x14ac:dyDescent="0.25">
      <c r="A340" s="3" t="s">
        <v>648</v>
      </c>
      <c r="B340" s="4" t="s">
        <v>649</v>
      </c>
      <c r="C340" s="12">
        <f>I340*3%+I340</f>
        <v>61.491</v>
      </c>
      <c r="D340" s="4" t="s">
        <v>383</v>
      </c>
      <c r="E340" s="4"/>
      <c r="F340" s="4" t="s">
        <v>15</v>
      </c>
      <c r="G340" s="4" t="s">
        <v>16</v>
      </c>
      <c r="H340" s="4" t="s">
        <v>17</v>
      </c>
      <c r="I340" s="4">
        <v>59.7</v>
      </c>
      <c r="J340" s="4" t="s">
        <v>383</v>
      </c>
      <c r="K340" s="4" t="s">
        <v>18</v>
      </c>
      <c r="L340" t="s">
        <v>648</v>
      </c>
      <c r="M340" s="9">
        <f t="shared" si="35"/>
        <v>74.62916706</v>
      </c>
      <c r="N340">
        <v>0</v>
      </c>
      <c r="O340" s="9">
        <v>0</v>
      </c>
      <c r="P340" s="9">
        <f t="shared" si="36"/>
        <v>-74.62916706</v>
      </c>
      <c r="Q340" s="16">
        <f t="shared" si="32"/>
        <v>74.62916706</v>
      </c>
    </row>
    <row r="341" spans="1:17" x14ac:dyDescent="0.25">
      <c r="A341" s="3" t="s">
        <v>650</v>
      </c>
      <c r="B341" s="4" t="s">
        <v>651</v>
      </c>
      <c r="C341" s="12">
        <f t="shared" ref="C341:C346" si="37">I341*3%+I341</f>
        <v>69.875200000000007</v>
      </c>
      <c r="D341" s="4" t="s">
        <v>383</v>
      </c>
      <c r="E341" s="4"/>
      <c r="F341" s="4" t="s">
        <v>15</v>
      </c>
      <c r="G341" s="4" t="s">
        <v>16</v>
      </c>
      <c r="H341" s="4" t="s">
        <v>17</v>
      </c>
      <c r="I341" s="4">
        <v>67.84</v>
      </c>
      <c r="J341" s="4" t="s">
        <v>383</v>
      </c>
      <c r="K341" s="4" t="s">
        <v>18</v>
      </c>
      <c r="L341" t="s">
        <v>650</v>
      </c>
      <c r="M341" s="9">
        <f t="shared" si="35"/>
        <v>84.804735231999999</v>
      </c>
      <c r="N341">
        <v>0</v>
      </c>
      <c r="O341" s="9">
        <v>0</v>
      </c>
      <c r="P341" s="9">
        <f t="shared" si="36"/>
        <v>-84.804735231999999</v>
      </c>
      <c r="Q341" s="16">
        <f t="shared" si="32"/>
        <v>84.804735231999999</v>
      </c>
    </row>
    <row r="342" spans="1:17" x14ac:dyDescent="0.25">
      <c r="A342" s="3" t="s">
        <v>652</v>
      </c>
      <c r="B342" s="4" t="s">
        <v>653</v>
      </c>
      <c r="C342" s="12">
        <f t="shared" si="37"/>
        <v>1.0815000000000001</v>
      </c>
      <c r="D342" s="4" t="s">
        <v>13</v>
      </c>
      <c r="E342" s="4" t="s">
        <v>14</v>
      </c>
      <c r="F342" s="4" t="s">
        <v>15</v>
      </c>
      <c r="G342" s="4" t="s">
        <v>16</v>
      </c>
      <c r="H342" s="4" t="s">
        <v>17</v>
      </c>
      <c r="I342" s="4">
        <v>1.05</v>
      </c>
      <c r="J342" s="4" t="s">
        <v>13</v>
      </c>
      <c r="K342" s="4" t="s">
        <v>18</v>
      </c>
      <c r="L342" t="s">
        <v>652</v>
      </c>
      <c r="M342" s="9">
        <f t="shared" si="35"/>
        <v>1.31257329</v>
      </c>
      <c r="N342" t="s">
        <v>652</v>
      </c>
      <c r="O342" s="9">
        <v>1.3081</v>
      </c>
      <c r="P342" s="9">
        <f t="shared" si="36"/>
        <v>-4.4732899999999631E-3</v>
      </c>
      <c r="Q342" s="16">
        <f t="shared" si="32"/>
        <v>1.31257329</v>
      </c>
    </row>
    <row r="343" spans="1:17" x14ac:dyDescent="0.25">
      <c r="A343" s="3" t="s">
        <v>654</v>
      </c>
      <c r="B343" s="4" t="s">
        <v>655</v>
      </c>
      <c r="C343" s="12">
        <f t="shared" si="37"/>
        <v>0.54590000000000005</v>
      </c>
      <c r="D343" s="4" t="s">
        <v>13</v>
      </c>
      <c r="E343" s="4" t="s">
        <v>14</v>
      </c>
      <c r="F343" s="4" t="s">
        <v>15</v>
      </c>
      <c r="G343" s="4" t="s">
        <v>16</v>
      </c>
      <c r="H343" s="4" t="s">
        <v>17</v>
      </c>
      <c r="I343" s="4">
        <v>0.53</v>
      </c>
      <c r="J343" s="4" t="s">
        <v>13</v>
      </c>
      <c r="K343" s="4" t="s">
        <v>18</v>
      </c>
      <c r="L343" t="s">
        <v>654</v>
      </c>
      <c r="M343" s="9">
        <f t="shared" si="35"/>
        <v>0.66253699399999999</v>
      </c>
      <c r="N343" t="s">
        <v>654</v>
      </c>
      <c r="O343" s="9">
        <v>0.65920000000000001</v>
      </c>
      <c r="P343" s="9">
        <f t="shared" si="36"/>
        <v>-3.336993999999982E-3</v>
      </c>
      <c r="Q343" s="16">
        <f t="shared" si="32"/>
        <v>0.66253699399999999</v>
      </c>
    </row>
    <row r="344" spans="1:17" x14ac:dyDescent="0.25">
      <c r="A344" s="3" t="s">
        <v>656</v>
      </c>
      <c r="B344" s="4" t="s">
        <v>657</v>
      </c>
      <c r="C344" s="12">
        <f t="shared" si="37"/>
        <v>41.097000000000001</v>
      </c>
      <c r="D344" s="4" t="s">
        <v>32</v>
      </c>
      <c r="E344" s="4" t="s">
        <v>14</v>
      </c>
      <c r="F344" s="4" t="s">
        <v>33</v>
      </c>
      <c r="G344" s="4" t="s">
        <v>34</v>
      </c>
      <c r="H344" s="4" t="s">
        <v>35</v>
      </c>
      <c r="I344" s="4">
        <v>39.9</v>
      </c>
      <c r="J344" s="4" t="s">
        <v>32</v>
      </c>
      <c r="K344" s="4" t="s">
        <v>18</v>
      </c>
      <c r="L344" t="s">
        <v>656</v>
      </c>
      <c r="M344" s="9">
        <f t="shared" si="35"/>
        <v>49.877785019999997</v>
      </c>
      <c r="N344">
        <v>0</v>
      </c>
      <c r="O344" s="9">
        <v>0</v>
      </c>
      <c r="P344" s="9">
        <f t="shared" si="36"/>
        <v>-49.877785019999997</v>
      </c>
      <c r="Q344" s="16">
        <f t="shared" si="32"/>
        <v>49.877785019999997</v>
      </c>
    </row>
    <row r="345" spans="1:17" x14ac:dyDescent="0.25">
      <c r="A345" s="3" t="s">
        <v>658</v>
      </c>
      <c r="B345" s="4" t="s">
        <v>659</v>
      </c>
      <c r="C345" s="12">
        <f t="shared" si="37"/>
        <v>52.581499999999998</v>
      </c>
      <c r="D345" s="4" t="s">
        <v>32</v>
      </c>
      <c r="E345" s="4" t="s">
        <v>14</v>
      </c>
      <c r="F345" s="4" t="s">
        <v>33</v>
      </c>
      <c r="G345" s="4" t="s">
        <v>34</v>
      </c>
      <c r="H345" s="4" t="s">
        <v>35</v>
      </c>
      <c r="I345" s="4">
        <v>51.05</v>
      </c>
      <c r="J345" s="4" t="s">
        <v>32</v>
      </c>
      <c r="K345" s="4" t="s">
        <v>18</v>
      </c>
      <c r="L345" t="s">
        <v>658</v>
      </c>
      <c r="M345" s="9">
        <f t="shared" si="35"/>
        <v>63.816063289999995</v>
      </c>
      <c r="N345">
        <v>0</v>
      </c>
      <c r="O345" s="9">
        <v>0</v>
      </c>
      <c r="P345" s="9">
        <f t="shared" si="36"/>
        <v>-63.816063289999995</v>
      </c>
      <c r="Q345" s="16">
        <f t="shared" si="32"/>
        <v>63.816063289999995</v>
      </c>
    </row>
    <row r="346" spans="1:17" x14ac:dyDescent="0.25">
      <c r="A346" s="3" t="s">
        <v>660</v>
      </c>
      <c r="B346" s="4" t="s">
        <v>661</v>
      </c>
      <c r="C346" s="12">
        <f t="shared" si="37"/>
        <v>27.037500000000001</v>
      </c>
      <c r="D346" s="4" t="s">
        <v>32</v>
      </c>
      <c r="E346" s="4" t="s">
        <v>14</v>
      </c>
      <c r="F346" s="4" t="s">
        <v>33</v>
      </c>
      <c r="G346" s="4" t="s">
        <v>34</v>
      </c>
      <c r="H346" s="4" t="s">
        <v>35</v>
      </c>
      <c r="I346" s="4">
        <v>26.25</v>
      </c>
      <c r="J346" s="4" t="s">
        <v>32</v>
      </c>
      <c r="K346" s="4" t="s">
        <v>18</v>
      </c>
      <c r="L346" t="s">
        <v>660</v>
      </c>
      <c r="M346" s="9">
        <f t="shared" si="35"/>
        <v>32.81433225</v>
      </c>
      <c r="N346">
        <v>0</v>
      </c>
      <c r="O346" s="9">
        <v>0</v>
      </c>
      <c r="P346" s="9">
        <f t="shared" si="36"/>
        <v>-32.81433225</v>
      </c>
      <c r="Q346" s="16">
        <f t="shared" ref="Q346:Q409" si="38">C346*1.21366</f>
        <v>32.81433225</v>
      </c>
    </row>
    <row r="347" spans="1:17" x14ac:dyDescent="0.25">
      <c r="A347" s="3">
        <v>26112</v>
      </c>
      <c r="B347" s="4" t="s">
        <v>662</v>
      </c>
      <c r="C347" s="12">
        <v>58.32</v>
      </c>
      <c r="D347" s="4" t="s">
        <v>111</v>
      </c>
      <c r="E347" s="4" t="s">
        <v>14</v>
      </c>
      <c r="F347" s="4" t="s">
        <v>33</v>
      </c>
      <c r="G347" s="4" t="s">
        <v>34</v>
      </c>
      <c r="H347" s="4" t="s">
        <v>377</v>
      </c>
      <c r="I347" s="4">
        <v>4.7193069999999997</v>
      </c>
      <c r="J347" s="4" t="s">
        <v>331</v>
      </c>
      <c r="K347" s="4" t="s">
        <v>18</v>
      </c>
      <c r="L347">
        <v>0</v>
      </c>
      <c r="M347" s="9">
        <f t="shared" si="35"/>
        <v>70.780651199999994</v>
      </c>
      <c r="N347">
        <v>0</v>
      </c>
      <c r="O347" s="9">
        <v>0</v>
      </c>
      <c r="P347" s="9">
        <f t="shared" si="36"/>
        <v>-70.780651199999994</v>
      </c>
      <c r="Q347" s="16">
        <f t="shared" si="38"/>
        <v>70.780651199999994</v>
      </c>
    </row>
    <row r="348" spans="1:17" x14ac:dyDescent="0.25">
      <c r="A348" s="3">
        <v>26120</v>
      </c>
      <c r="B348" s="4" t="s">
        <v>663</v>
      </c>
      <c r="C348" s="12">
        <v>60</v>
      </c>
      <c r="D348" s="4" t="s">
        <v>111</v>
      </c>
      <c r="E348" s="4" t="s">
        <v>14</v>
      </c>
      <c r="F348" s="4" t="s">
        <v>33</v>
      </c>
      <c r="G348" s="4" t="s">
        <v>34</v>
      </c>
      <c r="H348" s="4" t="s">
        <v>377</v>
      </c>
      <c r="I348" s="4">
        <v>3.15</v>
      </c>
      <c r="J348" s="4" t="s">
        <v>331</v>
      </c>
      <c r="K348" s="4" t="s">
        <v>18</v>
      </c>
      <c r="L348">
        <v>0</v>
      </c>
      <c r="M348" s="9">
        <f t="shared" si="35"/>
        <v>72.819599999999994</v>
      </c>
      <c r="N348">
        <v>0</v>
      </c>
      <c r="O348" s="9">
        <v>0</v>
      </c>
      <c r="P348" s="9">
        <f t="shared" si="36"/>
        <v>-72.819599999999994</v>
      </c>
      <c r="Q348" s="16">
        <f t="shared" si="38"/>
        <v>72.819599999999994</v>
      </c>
    </row>
    <row r="349" spans="1:17" x14ac:dyDescent="0.25">
      <c r="A349" s="3" t="s">
        <v>664</v>
      </c>
      <c r="B349" s="4" t="s">
        <v>665</v>
      </c>
      <c r="C349" s="12">
        <f>I349*3%+I349</f>
        <v>1.9879</v>
      </c>
      <c r="D349" s="4" t="s">
        <v>13</v>
      </c>
      <c r="E349" s="4" t="s">
        <v>14</v>
      </c>
      <c r="F349" s="4" t="s">
        <v>44</v>
      </c>
      <c r="G349" s="4" t="s">
        <v>45</v>
      </c>
      <c r="H349" s="4" t="s">
        <v>46</v>
      </c>
      <c r="I349" s="4">
        <v>1.93</v>
      </c>
      <c r="J349" s="4" t="s">
        <v>13</v>
      </c>
      <c r="K349" s="4" t="s">
        <v>18</v>
      </c>
      <c r="L349" t="s">
        <v>664</v>
      </c>
      <c r="M349" s="9">
        <f t="shared" si="35"/>
        <v>2.4126347139999997</v>
      </c>
      <c r="N349">
        <v>0</v>
      </c>
      <c r="O349" s="9">
        <v>0</v>
      </c>
      <c r="P349" s="9">
        <f t="shared" si="36"/>
        <v>-2.4126347139999997</v>
      </c>
      <c r="Q349" s="16">
        <f t="shared" si="38"/>
        <v>2.4126347139999997</v>
      </c>
    </row>
    <row r="350" spans="1:17" x14ac:dyDescent="0.25">
      <c r="A350" s="3" t="s">
        <v>666</v>
      </c>
      <c r="B350" s="4" t="s">
        <v>667</v>
      </c>
      <c r="C350" s="12">
        <f t="shared" ref="C350:C357" si="39">I350*3%+I350</f>
        <v>1.8952</v>
      </c>
      <c r="D350" s="4" t="s">
        <v>13</v>
      </c>
      <c r="E350" s="4" t="s">
        <v>14</v>
      </c>
      <c r="F350" s="4" t="s">
        <v>44</v>
      </c>
      <c r="G350" s="4" t="s">
        <v>45</v>
      </c>
      <c r="H350" s="4" t="s">
        <v>46</v>
      </c>
      <c r="I350" s="4">
        <v>1.84</v>
      </c>
      <c r="J350" s="4" t="s">
        <v>13</v>
      </c>
      <c r="K350" s="4" t="s">
        <v>18</v>
      </c>
      <c r="L350" t="s">
        <v>666</v>
      </c>
      <c r="M350" s="9">
        <f t="shared" si="35"/>
        <v>2.3001284319999997</v>
      </c>
      <c r="N350">
        <v>0</v>
      </c>
      <c r="O350" s="9">
        <v>0</v>
      </c>
      <c r="P350" s="9">
        <f t="shared" si="36"/>
        <v>-2.3001284319999997</v>
      </c>
      <c r="Q350" s="16">
        <f t="shared" si="38"/>
        <v>2.3001284319999997</v>
      </c>
    </row>
    <row r="351" spans="1:17" x14ac:dyDescent="0.25">
      <c r="A351" s="3" t="s">
        <v>668</v>
      </c>
      <c r="B351" s="4" t="s">
        <v>669</v>
      </c>
      <c r="C351" s="12">
        <f t="shared" si="39"/>
        <v>1.7509999999999999</v>
      </c>
      <c r="D351" s="4" t="s">
        <v>13</v>
      </c>
      <c r="E351" s="4" t="s">
        <v>14</v>
      </c>
      <c r="F351" s="4" t="s">
        <v>44</v>
      </c>
      <c r="G351" s="4" t="s">
        <v>45</v>
      </c>
      <c r="H351" s="4" t="s">
        <v>46</v>
      </c>
      <c r="I351" s="4">
        <v>1.7</v>
      </c>
      <c r="J351" s="4" t="s">
        <v>13</v>
      </c>
      <c r="K351" s="4" t="s">
        <v>18</v>
      </c>
      <c r="L351" t="s">
        <v>668</v>
      </c>
      <c r="M351" s="9">
        <f t="shared" si="35"/>
        <v>2.1251186599999996</v>
      </c>
      <c r="N351">
        <v>0</v>
      </c>
      <c r="O351" s="9">
        <v>0</v>
      </c>
      <c r="P351" s="9">
        <f t="shared" si="36"/>
        <v>-2.1251186599999996</v>
      </c>
      <c r="Q351" s="16">
        <f t="shared" si="38"/>
        <v>2.1251186599999996</v>
      </c>
    </row>
    <row r="352" spans="1:17" x14ac:dyDescent="0.25">
      <c r="A352" s="3" t="s">
        <v>670</v>
      </c>
      <c r="B352" s="4" t="s">
        <v>671</v>
      </c>
      <c r="C352" s="12">
        <f t="shared" si="39"/>
        <v>1.9466999999999999</v>
      </c>
      <c r="D352" s="4" t="s">
        <v>13</v>
      </c>
      <c r="E352" s="4" t="s">
        <v>14</v>
      </c>
      <c r="F352" s="4" t="s">
        <v>44</v>
      </c>
      <c r="G352" s="4" t="s">
        <v>45</v>
      </c>
      <c r="H352" s="4" t="s">
        <v>46</v>
      </c>
      <c r="I352" s="4">
        <v>1.89</v>
      </c>
      <c r="J352" s="4" t="s">
        <v>13</v>
      </c>
      <c r="K352" s="4" t="s">
        <v>18</v>
      </c>
      <c r="L352" t="s">
        <v>670</v>
      </c>
      <c r="M352" s="9">
        <f t="shared" si="35"/>
        <v>2.3626319219999998</v>
      </c>
      <c r="N352">
        <v>0</v>
      </c>
      <c r="O352" s="9">
        <v>0</v>
      </c>
      <c r="P352" s="9">
        <f t="shared" si="36"/>
        <v>-2.3626319219999998</v>
      </c>
      <c r="Q352" s="16">
        <f t="shared" si="38"/>
        <v>2.3626319219999998</v>
      </c>
    </row>
    <row r="353" spans="1:17" x14ac:dyDescent="0.25">
      <c r="A353" s="3" t="s">
        <v>672</v>
      </c>
      <c r="B353" s="4" t="s">
        <v>673</v>
      </c>
      <c r="C353" s="12">
        <f t="shared" si="39"/>
        <v>1.9982</v>
      </c>
      <c r="D353" s="4" t="s">
        <v>13</v>
      </c>
      <c r="E353" s="4" t="s">
        <v>14</v>
      </c>
      <c r="F353" s="4" t="s">
        <v>44</v>
      </c>
      <c r="G353" s="4" t="s">
        <v>45</v>
      </c>
      <c r="H353" s="4" t="s">
        <v>46</v>
      </c>
      <c r="I353" s="4">
        <v>1.94</v>
      </c>
      <c r="J353" s="4" t="s">
        <v>13</v>
      </c>
      <c r="K353" s="4" t="s">
        <v>18</v>
      </c>
      <c r="L353" t="s">
        <v>672</v>
      </c>
      <c r="M353" s="9">
        <f t="shared" si="35"/>
        <v>2.4251354119999999</v>
      </c>
      <c r="N353">
        <v>0</v>
      </c>
      <c r="O353" s="9">
        <v>0</v>
      </c>
      <c r="P353" s="9">
        <f t="shared" si="36"/>
        <v>-2.4251354119999999</v>
      </c>
      <c r="Q353" s="16">
        <f t="shared" si="38"/>
        <v>2.4251354119999999</v>
      </c>
    </row>
    <row r="354" spans="1:17" x14ac:dyDescent="0.25">
      <c r="A354" s="3" t="s">
        <v>674</v>
      </c>
      <c r="B354" s="4" t="s">
        <v>675</v>
      </c>
      <c r="C354" s="12">
        <f t="shared" si="39"/>
        <v>2.2866000000000004</v>
      </c>
      <c r="D354" s="4" t="s">
        <v>13</v>
      </c>
      <c r="E354" s="4" t="s">
        <v>14</v>
      </c>
      <c r="F354" s="4" t="s">
        <v>44</v>
      </c>
      <c r="G354" s="4" t="s">
        <v>45</v>
      </c>
      <c r="H354" s="4" t="s">
        <v>46</v>
      </c>
      <c r="I354" s="4">
        <v>2.2200000000000002</v>
      </c>
      <c r="J354" s="4" t="s">
        <v>13</v>
      </c>
      <c r="K354" s="4" t="s">
        <v>18</v>
      </c>
      <c r="L354" t="s">
        <v>674</v>
      </c>
      <c r="M354" s="9">
        <f t="shared" si="35"/>
        <v>2.7751549560000006</v>
      </c>
      <c r="N354">
        <v>0</v>
      </c>
      <c r="O354" s="9">
        <v>0</v>
      </c>
      <c r="P354" s="9">
        <f t="shared" si="36"/>
        <v>-2.7751549560000006</v>
      </c>
      <c r="Q354" s="16">
        <f t="shared" si="38"/>
        <v>2.7751549560000006</v>
      </c>
    </row>
    <row r="355" spans="1:17" x14ac:dyDescent="0.25">
      <c r="A355" s="3">
        <v>76534010002</v>
      </c>
      <c r="B355" s="4" t="s">
        <v>676</v>
      </c>
      <c r="C355" s="12">
        <f t="shared" si="39"/>
        <v>0</v>
      </c>
      <c r="D355" s="4" t="s">
        <v>191</v>
      </c>
      <c r="E355" s="4" t="s">
        <v>14</v>
      </c>
      <c r="F355" s="4" t="s">
        <v>33</v>
      </c>
      <c r="G355" s="4" t="s">
        <v>34</v>
      </c>
      <c r="H355" s="4" t="s">
        <v>515</v>
      </c>
      <c r="I355" s="4"/>
      <c r="J355" s="4" t="s">
        <v>527</v>
      </c>
      <c r="K355" s="4" t="s">
        <v>18</v>
      </c>
      <c r="L355">
        <v>0</v>
      </c>
      <c r="M355" s="9">
        <f t="shared" si="35"/>
        <v>0</v>
      </c>
      <c r="N355">
        <v>0</v>
      </c>
      <c r="O355" s="9">
        <v>0</v>
      </c>
      <c r="P355" s="9">
        <f t="shared" si="36"/>
        <v>0</v>
      </c>
      <c r="Q355" s="16">
        <f t="shared" si="38"/>
        <v>0</v>
      </c>
    </row>
    <row r="356" spans="1:17" x14ac:dyDescent="0.25">
      <c r="A356" s="3">
        <v>7269725</v>
      </c>
      <c r="B356" s="4" t="s">
        <v>677</v>
      </c>
      <c r="C356" s="12">
        <f t="shared" si="39"/>
        <v>0</v>
      </c>
      <c r="D356" s="4" t="s">
        <v>111</v>
      </c>
      <c r="E356" s="4" t="s">
        <v>14</v>
      </c>
      <c r="F356" s="4" t="s">
        <v>33</v>
      </c>
      <c r="G356" s="4" t="s">
        <v>34</v>
      </c>
      <c r="H356" s="4" t="s">
        <v>678</v>
      </c>
      <c r="I356" s="4"/>
      <c r="J356" s="4" t="s">
        <v>111</v>
      </c>
      <c r="K356" s="4" t="s">
        <v>18</v>
      </c>
      <c r="L356">
        <v>0</v>
      </c>
      <c r="M356" s="9">
        <f t="shared" si="35"/>
        <v>0</v>
      </c>
      <c r="N356">
        <v>0</v>
      </c>
      <c r="O356" s="9">
        <v>0</v>
      </c>
      <c r="P356" s="9">
        <f t="shared" si="36"/>
        <v>0</v>
      </c>
      <c r="Q356" s="16">
        <f t="shared" si="38"/>
        <v>0</v>
      </c>
    </row>
    <row r="357" spans="1:17" x14ac:dyDescent="0.25">
      <c r="A357" s="3">
        <v>7269705</v>
      </c>
      <c r="B357" s="4" t="s">
        <v>679</v>
      </c>
      <c r="C357" s="12">
        <f t="shared" si="39"/>
        <v>0</v>
      </c>
      <c r="D357" s="4" t="s">
        <v>111</v>
      </c>
      <c r="E357" s="4" t="s">
        <v>14</v>
      </c>
      <c r="F357" s="4" t="s">
        <v>33</v>
      </c>
      <c r="G357" s="4" t="s">
        <v>34</v>
      </c>
      <c r="H357" s="4" t="s">
        <v>678</v>
      </c>
      <c r="I357" s="4"/>
      <c r="J357" s="4" t="s">
        <v>331</v>
      </c>
      <c r="K357" s="4" t="s">
        <v>18</v>
      </c>
      <c r="L357">
        <v>0</v>
      </c>
      <c r="M357" s="9">
        <f t="shared" si="35"/>
        <v>0</v>
      </c>
      <c r="N357">
        <v>0</v>
      </c>
      <c r="O357" s="9">
        <v>0</v>
      </c>
      <c r="P357" s="9">
        <f t="shared" si="36"/>
        <v>0</v>
      </c>
      <c r="Q357" s="16">
        <f t="shared" si="38"/>
        <v>0</v>
      </c>
    </row>
    <row r="358" spans="1:17" x14ac:dyDescent="0.25">
      <c r="A358" s="3">
        <v>76534449100</v>
      </c>
      <c r="B358" s="4" t="s">
        <v>680</v>
      </c>
      <c r="C358" s="12">
        <v>339.77</v>
      </c>
      <c r="D358" s="4" t="s">
        <v>191</v>
      </c>
      <c r="E358" s="4" t="s">
        <v>14</v>
      </c>
      <c r="F358" s="4" t="s">
        <v>33</v>
      </c>
      <c r="G358" s="4" t="s">
        <v>34</v>
      </c>
      <c r="H358" s="4" t="s">
        <v>35</v>
      </c>
      <c r="I358" s="4">
        <v>164.92</v>
      </c>
      <c r="J358" s="4" t="s">
        <v>191</v>
      </c>
      <c r="K358" s="4" t="s">
        <v>18</v>
      </c>
      <c r="L358">
        <v>0</v>
      </c>
      <c r="M358" s="9">
        <f t="shared" si="35"/>
        <v>412.36525819999997</v>
      </c>
      <c r="N358">
        <v>0</v>
      </c>
      <c r="O358" s="9">
        <v>0</v>
      </c>
      <c r="P358" s="9">
        <f t="shared" si="36"/>
        <v>-412.36525819999997</v>
      </c>
      <c r="Q358" s="16">
        <f t="shared" si="38"/>
        <v>412.36525819999997</v>
      </c>
    </row>
    <row r="359" spans="1:17" x14ac:dyDescent="0.25">
      <c r="A359" s="3">
        <v>76703125004</v>
      </c>
      <c r="B359" s="4" t="s">
        <v>681</v>
      </c>
      <c r="C359" s="12">
        <v>594.83000000000004</v>
      </c>
      <c r="D359" s="4" t="s">
        <v>191</v>
      </c>
      <c r="E359" s="4" t="s">
        <v>14</v>
      </c>
      <c r="F359" s="4" t="s">
        <v>33</v>
      </c>
      <c r="G359" s="4" t="s">
        <v>34</v>
      </c>
      <c r="H359" s="4" t="s">
        <v>35</v>
      </c>
      <c r="I359" s="4">
        <v>577.5</v>
      </c>
      <c r="J359" s="4" t="s">
        <v>191</v>
      </c>
      <c r="K359" s="4" t="s">
        <v>18</v>
      </c>
      <c r="L359">
        <v>0</v>
      </c>
      <c r="M359" s="9">
        <f t="shared" si="35"/>
        <v>721.92137780000007</v>
      </c>
      <c r="N359">
        <v>0</v>
      </c>
      <c r="O359" s="9">
        <v>0</v>
      </c>
      <c r="P359" s="9">
        <f t="shared" si="36"/>
        <v>-721.92137780000007</v>
      </c>
      <c r="Q359" s="16">
        <f t="shared" si="38"/>
        <v>721.92137780000007</v>
      </c>
    </row>
    <row r="360" spans="1:17" x14ac:dyDescent="0.25">
      <c r="A360" s="3">
        <v>76703125003</v>
      </c>
      <c r="B360" s="4" t="s">
        <v>682</v>
      </c>
      <c r="C360" s="12">
        <v>670.53</v>
      </c>
      <c r="D360" s="4" t="s">
        <v>191</v>
      </c>
      <c r="E360" s="4" t="s">
        <v>14</v>
      </c>
      <c r="F360" s="4" t="s">
        <v>33</v>
      </c>
      <c r="G360" s="4" t="s">
        <v>34</v>
      </c>
      <c r="H360" s="4" t="s">
        <v>35</v>
      </c>
      <c r="I360" s="4"/>
      <c r="J360" s="4" t="s">
        <v>527</v>
      </c>
      <c r="K360" s="4" t="s">
        <v>18</v>
      </c>
      <c r="L360">
        <v>0</v>
      </c>
      <c r="M360" s="9">
        <f t="shared" si="35"/>
        <v>813.79543979999994</v>
      </c>
      <c r="N360">
        <v>0</v>
      </c>
      <c r="O360" s="9">
        <v>0</v>
      </c>
      <c r="P360" s="9">
        <f t="shared" si="36"/>
        <v>-813.79543979999994</v>
      </c>
      <c r="Q360" s="16">
        <f t="shared" si="38"/>
        <v>813.79543979999994</v>
      </c>
    </row>
    <row r="361" spans="1:17" x14ac:dyDescent="0.25">
      <c r="A361" s="3">
        <v>76533005002</v>
      </c>
      <c r="B361" s="4" t="s">
        <v>683</v>
      </c>
      <c r="C361" s="12">
        <v>250</v>
      </c>
      <c r="D361" s="4" t="s">
        <v>191</v>
      </c>
      <c r="E361" s="4" t="s">
        <v>14</v>
      </c>
      <c r="F361" s="4" t="s">
        <v>33</v>
      </c>
      <c r="G361" s="4" t="s">
        <v>34</v>
      </c>
      <c r="H361" s="4" t="s">
        <v>198</v>
      </c>
      <c r="I361" s="4">
        <v>7.5533999999999999</v>
      </c>
      <c r="J361" s="4" t="s">
        <v>527</v>
      </c>
      <c r="K361" s="4" t="s">
        <v>18</v>
      </c>
      <c r="L361">
        <v>0</v>
      </c>
      <c r="M361" s="9">
        <f t="shared" si="35"/>
        <v>303.41499999999996</v>
      </c>
      <c r="N361">
        <v>0</v>
      </c>
      <c r="O361" s="9">
        <v>0</v>
      </c>
      <c r="P361" s="9">
        <f t="shared" si="36"/>
        <v>-303.41499999999996</v>
      </c>
      <c r="Q361" s="16">
        <f t="shared" si="38"/>
        <v>303.41499999999996</v>
      </c>
    </row>
    <row r="362" spans="1:17" x14ac:dyDescent="0.25">
      <c r="A362" s="3" t="s">
        <v>684</v>
      </c>
      <c r="B362" s="4" t="s">
        <v>685</v>
      </c>
      <c r="C362" s="12">
        <f>I362*3%+I362</f>
        <v>288.44714619000001</v>
      </c>
      <c r="D362" s="4" t="s">
        <v>191</v>
      </c>
      <c r="E362" s="4"/>
      <c r="F362" s="4" t="s">
        <v>33</v>
      </c>
      <c r="G362" s="4" t="s">
        <v>34</v>
      </c>
      <c r="H362" s="4" t="s">
        <v>686</v>
      </c>
      <c r="I362" s="4">
        <v>280.045773</v>
      </c>
      <c r="J362" s="4" t="s">
        <v>191</v>
      </c>
      <c r="K362" s="4" t="s">
        <v>18</v>
      </c>
      <c r="L362">
        <v>0</v>
      </c>
      <c r="M362" s="9">
        <f t="shared" si="35"/>
        <v>350.07676344495542</v>
      </c>
      <c r="N362">
        <v>0</v>
      </c>
      <c r="O362" s="9">
        <v>0</v>
      </c>
      <c r="P362" s="9">
        <f t="shared" si="36"/>
        <v>-350.07676344495542</v>
      </c>
      <c r="Q362" s="16">
        <f t="shared" si="38"/>
        <v>350.07676344495542</v>
      </c>
    </row>
    <row r="363" spans="1:17" x14ac:dyDescent="0.25">
      <c r="A363" s="3">
        <v>7261220</v>
      </c>
      <c r="B363" s="4" t="s">
        <v>687</v>
      </c>
      <c r="C363" s="12">
        <f t="shared" ref="C363:C365" si="40">I363*3%+I363</f>
        <v>78.479762320000006</v>
      </c>
      <c r="D363" s="4" t="s">
        <v>111</v>
      </c>
      <c r="E363" s="4" t="s">
        <v>14</v>
      </c>
      <c r="F363" s="4" t="s">
        <v>33</v>
      </c>
      <c r="G363" s="4" t="s">
        <v>34</v>
      </c>
      <c r="H363" s="4" t="s">
        <v>377</v>
      </c>
      <c r="I363" s="4">
        <v>76.193944000000002</v>
      </c>
      <c r="J363" s="4" t="s">
        <v>111</v>
      </c>
      <c r="K363" s="4" t="s">
        <v>18</v>
      </c>
      <c r="L363">
        <v>0</v>
      </c>
      <c r="M363" s="9">
        <f t="shared" si="35"/>
        <v>95.247748337291199</v>
      </c>
      <c r="N363">
        <v>0</v>
      </c>
      <c r="O363" s="9">
        <v>0</v>
      </c>
      <c r="P363" s="9">
        <f t="shared" si="36"/>
        <v>-95.247748337291199</v>
      </c>
      <c r="Q363" s="16">
        <f t="shared" si="38"/>
        <v>95.247748337291199</v>
      </c>
    </row>
    <row r="364" spans="1:17" x14ac:dyDescent="0.25">
      <c r="A364" s="3">
        <v>7270420</v>
      </c>
      <c r="B364" s="4" t="s">
        <v>688</v>
      </c>
      <c r="C364" s="12">
        <f t="shared" si="40"/>
        <v>142.63365530999999</v>
      </c>
      <c r="D364" s="4" t="s">
        <v>111</v>
      </c>
      <c r="E364" s="4" t="s">
        <v>14</v>
      </c>
      <c r="F364" s="4" t="s">
        <v>33</v>
      </c>
      <c r="G364" s="4" t="s">
        <v>34</v>
      </c>
      <c r="H364" s="4" t="s">
        <v>377</v>
      </c>
      <c r="I364" s="4">
        <v>138.479277</v>
      </c>
      <c r="J364" s="4" t="s">
        <v>111</v>
      </c>
      <c r="K364" s="4" t="s">
        <v>18</v>
      </c>
      <c r="L364">
        <v>0</v>
      </c>
      <c r="M364" s="9">
        <f t="shared" si="35"/>
        <v>173.10876210353459</v>
      </c>
      <c r="N364">
        <v>0</v>
      </c>
      <c r="O364" s="9">
        <v>0</v>
      </c>
      <c r="P364" s="9">
        <f t="shared" si="36"/>
        <v>-173.10876210353459</v>
      </c>
      <c r="Q364" s="16">
        <f t="shared" si="38"/>
        <v>173.10876210353459</v>
      </c>
    </row>
    <row r="365" spans="1:17" x14ac:dyDescent="0.25">
      <c r="A365" s="3" t="s">
        <v>689</v>
      </c>
      <c r="B365" s="4" t="s">
        <v>690</v>
      </c>
      <c r="C365" s="12">
        <f t="shared" si="40"/>
        <v>0</v>
      </c>
      <c r="D365" s="4" t="s">
        <v>13</v>
      </c>
      <c r="E365" s="4" t="s">
        <v>23</v>
      </c>
      <c r="F365" s="4" t="s">
        <v>49</v>
      </c>
      <c r="G365" s="4" t="s">
        <v>50</v>
      </c>
      <c r="H365" s="4" t="s">
        <v>50</v>
      </c>
      <c r="I365" s="4"/>
      <c r="J365" s="4" t="s">
        <v>13</v>
      </c>
      <c r="K365" s="4" t="s">
        <v>18</v>
      </c>
      <c r="L365">
        <v>0</v>
      </c>
      <c r="M365" s="9">
        <f t="shared" si="35"/>
        <v>0</v>
      </c>
      <c r="N365">
        <v>0</v>
      </c>
      <c r="O365" s="9">
        <v>0</v>
      </c>
      <c r="P365" s="9">
        <f t="shared" si="36"/>
        <v>0</v>
      </c>
      <c r="Q365" s="16">
        <f t="shared" si="38"/>
        <v>0</v>
      </c>
    </row>
    <row r="366" spans="1:17" x14ac:dyDescent="0.25">
      <c r="A366" s="3" t="s">
        <v>691</v>
      </c>
      <c r="B366" s="4" t="s">
        <v>692</v>
      </c>
      <c r="C366" s="12">
        <v>1621.17</v>
      </c>
      <c r="D366" s="4" t="s">
        <v>13</v>
      </c>
      <c r="E366" s="4" t="s">
        <v>14</v>
      </c>
      <c r="F366" s="4" t="s">
        <v>33</v>
      </c>
      <c r="G366" s="4" t="s">
        <v>34</v>
      </c>
      <c r="H366" s="4" t="s">
        <v>115</v>
      </c>
      <c r="I366" s="4">
        <v>1573.95</v>
      </c>
      <c r="J366" s="4" t="s">
        <v>13</v>
      </c>
      <c r="K366" s="4" t="s">
        <v>18</v>
      </c>
      <c r="L366" t="s">
        <v>691</v>
      </c>
      <c r="M366" s="9">
        <f t="shared" si="35"/>
        <v>1967.5491822000001</v>
      </c>
      <c r="N366">
        <v>0</v>
      </c>
      <c r="O366" s="9">
        <v>0</v>
      </c>
      <c r="P366" s="9">
        <f t="shared" si="36"/>
        <v>-1967.5491822000001</v>
      </c>
      <c r="Q366" s="16">
        <f t="shared" si="38"/>
        <v>1967.5491822000001</v>
      </c>
    </row>
    <row r="367" spans="1:17" x14ac:dyDescent="0.25">
      <c r="A367" s="3" t="s">
        <v>693</v>
      </c>
      <c r="B367" s="4" t="s">
        <v>694</v>
      </c>
      <c r="C367" s="12">
        <f>I367*3%+I367</f>
        <v>38.635300000000001</v>
      </c>
      <c r="D367" s="4" t="s">
        <v>13</v>
      </c>
      <c r="E367" s="4" t="s">
        <v>14</v>
      </c>
      <c r="F367" s="4" t="s">
        <v>44</v>
      </c>
      <c r="G367" s="4" t="s">
        <v>45</v>
      </c>
      <c r="H367" s="4" t="s">
        <v>46</v>
      </c>
      <c r="I367" s="4">
        <v>37.51</v>
      </c>
      <c r="J367" s="4" t="s">
        <v>13</v>
      </c>
      <c r="K367" s="4" t="s">
        <v>18</v>
      </c>
      <c r="L367" t="s">
        <v>693</v>
      </c>
      <c r="M367" s="9">
        <f t="shared" si="35"/>
        <v>46.890118197999996</v>
      </c>
      <c r="N367">
        <v>0</v>
      </c>
      <c r="O367" s="9">
        <v>0</v>
      </c>
      <c r="P367" s="9">
        <f t="shared" si="36"/>
        <v>-46.890118197999996</v>
      </c>
      <c r="Q367" s="16">
        <f t="shared" si="38"/>
        <v>46.890118197999996</v>
      </c>
    </row>
    <row r="368" spans="1:17" x14ac:dyDescent="0.25">
      <c r="A368" s="3">
        <v>7352305</v>
      </c>
      <c r="B368" s="4" t="s">
        <v>695</v>
      </c>
      <c r="C368" s="12">
        <v>80</v>
      </c>
      <c r="D368" s="4" t="s">
        <v>111</v>
      </c>
      <c r="E368" s="4" t="s">
        <v>14</v>
      </c>
      <c r="F368" s="4" t="s">
        <v>33</v>
      </c>
      <c r="G368" s="4" t="s">
        <v>34</v>
      </c>
      <c r="H368" s="4" t="s">
        <v>696</v>
      </c>
      <c r="I368" s="4">
        <v>19.502099999999999</v>
      </c>
      <c r="J368" s="4" t="s">
        <v>331</v>
      </c>
      <c r="K368" s="4" t="s">
        <v>18</v>
      </c>
      <c r="L368">
        <v>0</v>
      </c>
      <c r="M368" s="9">
        <f t="shared" si="35"/>
        <v>97.092799999999997</v>
      </c>
      <c r="N368">
        <v>0</v>
      </c>
      <c r="O368" s="9">
        <v>0</v>
      </c>
      <c r="P368" s="9">
        <f t="shared" si="36"/>
        <v>-97.092799999999997</v>
      </c>
      <c r="Q368" s="16">
        <f t="shared" si="38"/>
        <v>97.092799999999997</v>
      </c>
    </row>
    <row r="369" spans="1:17" x14ac:dyDescent="0.25">
      <c r="A369" s="3">
        <v>7352405</v>
      </c>
      <c r="B369" s="4" t="s">
        <v>697</v>
      </c>
      <c r="C369" s="12">
        <v>58</v>
      </c>
      <c r="D369" s="4" t="s">
        <v>334</v>
      </c>
      <c r="E369" s="4" t="s">
        <v>14</v>
      </c>
      <c r="F369" s="4" t="s">
        <v>33</v>
      </c>
      <c r="G369" s="4" t="s">
        <v>34</v>
      </c>
      <c r="H369" s="4" t="s">
        <v>696</v>
      </c>
      <c r="I369" s="4">
        <v>90</v>
      </c>
      <c r="J369" s="4" t="s">
        <v>331</v>
      </c>
      <c r="K369" s="4" t="s">
        <v>18</v>
      </c>
      <c r="L369">
        <v>0</v>
      </c>
      <c r="M369" s="9">
        <f t="shared" si="35"/>
        <v>70.39228</v>
      </c>
      <c r="N369">
        <v>0</v>
      </c>
      <c r="O369" s="9">
        <v>0</v>
      </c>
      <c r="P369" s="9">
        <f t="shared" si="36"/>
        <v>-70.39228</v>
      </c>
      <c r="Q369" s="16">
        <f t="shared" si="38"/>
        <v>70.39228</v>
      </c>
    </row>
    <row r="370" spans="1:17" x14ac:dyDescent="0.25">
      <c r="A370" s="3" t="s">
        <v>698</v>
      </c>
      <c r="B370" s="4" t="s">
        <v>699</v>
      </c>
      <c r="C370" s="12">
        <f>I370*3%+I370</f>
        <v>87.034999999999997</v>
      </c>
      <c r="D370" s="4" t="s">
        <v>118</v>
      </c>
      <c r="E370" s="4" t="s">
        <v>14</v>
      </c>
      <c r="F370" s="4" t="s">
        <v>44</v>
      </c>
      <c r="G370" s="4" t="s">
        <v>45</v>
      </c>
      <c r="H370" s="4" t="s">
        <v>23</v>
      </c>
      <c r="I370" s="4">
        <v>84.5</v>
      </c>
      <c r="J370" s="4" t="s">
        <v>118</v>
      </c>
      <c r="K370" s="4" t="s">
        <v>18</v>
      </c>
      <c r="L370" t="s">
        <v>698</v>
      </c>
      <c r="M370" s="9">
        <f t="shared" si="35"/>
        <v>105.6308981</v>
      </c>
      <c r="N370">
        <v>0</v>
      </c>
      <c r="O370" s="9">
        <v>0</v>
      </c>
      <c r="P370" s="9">
        <f t="shared" si="36"/>
        <v>-105.6308981</v>
      </c>
      <c r="Q370" s="16">
        <f t="shared" si="38"/>
        <v>105.6308981</v>
      </c>
    </row>
    <row r="371" spans="1:17" x14ac:dyDescent="0.25">
      <c r="A371" s="3">
        <v>2588250</v>
      </c>
      <c r="B371" s="4" t="s">
        <v>700</v>
      </c>
      <c r="C371" s="12">
        <v>1580</v>
      </c>
      <c r="D371" s="4" t="s">
        <v>504</v>
      </c>
      <c r="E371" s="4" t="s">
        <v>14</v>
      </c>
      <c r="F371" s="4" t="s">
        <v>33</v>
      </c>
      <c r="G371" s="4" t="s">
        <v>34</v>
      </c>
      <c r="H371" s="4" t="s">
        <v>696</v>
      </c>
      <c r="I371" s="4">
        <v>1984.23</v>
      </c>
      <c r="J371" s="4" t="s">
        <v>504</v>
      </c>
      <c r="K371" s="4" t="s">
        <v>18</v>
      </c>
      <c r="L371">
        <v>0</v>
      </c>
      <c r="M371" s="9">
        <f t="shared" si="35"/>
        <v>1917.5827999999999</v>
      </c>
      <c r="N371">
        <v>0</v>
      </c>
      <c r="O371" s="9">
        <v>0</v>
      </c>
      <c r="P371" s="9">
        <f t="shared" si="36"/>
        <v>-1917.5827999999999</v>
      </c>
      <c r="Q371" s="16">
        <f t="shared" si="38"/>
        <v>1917.5827999999999</v>
      </c>
    </row>
    <row r="372" spans="1:17" x14ac:dyDescent="0.25">
      <c r="A372" s="3">
        <v>2588350</v>
      </c>
      <c r="B372" s="4" t="s">
        <v>701</v>
      </c>
      <c r="C372" s="12">
        <v>1380</v>
      </c>
      <c r="D372" s="4" t="s">
        <v>111</v>
      </c>
      <c r="E372" s="4" t="s">
        <v>14</v>
      </c>
      <c r="F372" s="4" t="s">
        <v>33</v>
      </c>
      <c r="G372" s="4" t="s">
        <v>34</v>
      </c>
      <c r="H372" s="4" t="s">
        <v>696</v>
      </c>
      <c r="I372" s="4">
        <v>1672.04</v>
      </c>
      <c r="J372" s="4" t="s">
        <v>111</v>
      </c>
      <c r="K372" s="4" t="s">
        <v>18</v>
      </c>
      <c r="L372">
        <v>0</v>
      </c>
      <c r="M372" s="9">
        <f t="shared" si="35"/>
        <v>1674.8507999999999</v>
      </c>
      <c r="N372">
        <v>0</v>
      </c>
      <c r="O372" s="9">
        <v>0</v>
      </c>
      <c r="P372" s="9">
        <f t="shared" si="36"/>
        <v>-1674.8507999999999</v>
      </c>
      <c r="Q372" s="16">
        <f t="shared" si="38"/>
        <v>1674.8507999999999</v>
      </c>
    </row>
    <row r="373" spans="1:17" x14ac:dyDescent="0.25">
      <c r="A373" s="3">
        <v>187810</v>
      </c>
      <c r="B373" s="4" t="s">
        <v>702</v>
      </c>
      <c r="C373" s="12">
        <v>69</v>
      </c>
      <c r="D373" s="4" t="s">
        <v>111</v>
      </c>
      <c r="E373" s="4" t="s">
        <v>14</v>
      </c>
      <c r="F373" s="4" t="s">
        <v>33</v>
      </c>
      <c r="G373" s="4" t="s">
        <v>34</v>
      </c>
      <c r="H373" s="4" t="s">
        <v>696</v>
      </c>
      <c r="I373" s="4">
        <v>23.33333</v>
      </c>
      <c r="J373" s="4" t="s">
        <v>331</v>
      </c>
      <c r="K373" s="4" t="s">
        <v>18</v>
      </c>
      <c r="L373">
        <v>0</v>
      </c>
      <c r="M373" s="9">
        <f t="shared" si="35"/>
        <v>83.742539999999991</v>
      </c>
      <c r="N373">
        <v>0</v>
      </c>
      <c r="O373" s="9">
        <v>0</v>
      </c>
      <c r="P373" s="9">
        <f t="shared" si="36"/>
        <v>-83.742539999999991</v>
      </c>
      <c r="Q373" s="16">
        <f t="shared" si="38"/>
        <v>83.742539999999991</v>
      </c>
    </row>
    <row r="374" spans="1:17" x14ac:dyDescent="0.25">
      <c r="A374" s="3">
        <v>187710</v>
      </c>
      <c r="B374" s="4" t="s">
        <v>703</v>
      </c>
      <c r="C374" s="12">
        <v>95</v>
      </c>
      <c r="D374" s="4" t="s">
        <v>111</v>
      </c>
      <c r="E374" s="4" t="s">
        <v>14</v>
      </c>
      <c r="F374" s="4" t="s">
        <v>33</v>
      </c>
      <c r="G374" s="4" t="s">
        <v>34</v>
      </c>
      <c r="H374" s="4" t="s">
        <v>696</v>
      </c>
      <c r="I374" s="4">
        <v>19.090900000000001</v>
      </c>
      <c r="J374" s="4" t="s">
        <v>331</v>
      </c>
      <c r="K374" s="4" t="s">
        <v>18</v>
      </c>
      <c r="L374">
        <v>0</v>
      </c>
      <c r="M374" s="9">
        <f t="shared" si="35"/>
        <v>115.29769999999999</v>
      </c>
      <c r="N374">
        <v>0</v>
      </c>
      <c r="O374" s="9">
        <v>0</v>
      </c>
      <c r="P374" s="9">
        <f t="shared" si="36"/>
        <v>-115.29769999999999</v>
      </c>
      <c r="Q374" s="16">
        <f t="shared" si="38"/>
        <v>115.29769999999999</v>
      </c>
    </row>
    <row r="375" spans="1:17" x14ac:dyDescent="0.25">
      <c r="A375" s="3">
        <v>221110</v>
      </c>
      <c r="B375" s="4" t="s">
        <v>704</v>
      </c>
      <c r="C375" s="12">
        <v>158</v>
      </c>
      <c r="D375" s="4" t="s">
        <v>111</v>
      </c>
      <c r="E375" s="4" t="s">
        <v>14</v>
      </c>
      <c r="F375" s="4" t="s">
        <v>33</v>
      </c>
      <c r="G375" s="4" t="s">
        <v>34</v>
      </c>
      <c r="H375" s="4" t="s">
        <v>112</v>
      </c>
      <c r="I375" s="4">
        <v>147.38</v>
      </c>
      <c r="J375" s="4" t="s">
        <v>111</v>
      </c>
      <c r="K375" s="4" t="s">
        <v>18</v>
      </c>
      <c r="L375">
        <v>0</v>
      </c>
      <c r="M375" s="9">
        <f t="shared" si="35"/>
        <v>191.75827999999998</v>
      </c>
      <c r="N375">
        <v>0</v>
      </c>
      <c r="O375" s="9">
        <v>0</v>
      </c>
      <c r="P375" s="9">
        <f t="shared" si="36"/>
        <v>-191.75827999999998</v>
      </c>
      <c r="Q375" s="16">
        <f t="shared" si="38"/>
        <v>191.75827999999998</v>
      </c>
    </row>
    <row r="376" spans="1:17" x14ac:dyDescent="0.25">
      <c r="A376" s="3" t="s">
        <v>705</v>
      </c>
      <c r="B376" s="4" t="s">
        <v>706</v>
      </c>
      <c r="C376" s="12">
        <v>402</v>
      </c>
      <c r="D376" s="4" t="s">
        <v>13</v>
      </c>
      <c r="E376" s="4" t="s">
        <v>14</v>
      </c>
      <c r="F376" s="4" t="s">
        <v>33</v>
      </c>
      <c r="G376" s="4" t="s">
        <v>34</v>
      </c>
      <c r="H376" s="4" t="s">
        <v>115</v>
      </c>
      <c r="I376" s="4">
        <v>389.92</v>
      </c>
      <c r="J376" s="4" t="s">
        <v>13</v>
      </c>
      <c r="K376" s="4" t="s">
        <v>18</v>
      </c>
      <c r="L376" t="s">
        <v>705</v>
      </c>
      <c r="M376" s="9">
        <f t="shared" si="35"/>
        <v>487.89132000000001</v>
      </c>
      <c r="N376" t="s">
        <v>705</v>
      </c>
      <c r="O376" s="9">
        <v>487.42689999999999</v>
      </c>
      <c r="P376" s="9">
        <f t="shared" si="36"/>
        <v>-0.46442000000001826</v>
      </c>
      <c r="Q376" s="16">
        <f t="shared" si="38"/>
        <v>487.89132000000001</v>
      </c>
    </row>
    <row r="377" spans="1:17" x14ac:dyDescent="0.25">
      <c r="A377" s="3" t="s">
        <v>707</v>
      </c>
      <c r="B377" s="4" t="s">
        <v>708</v>
      </c>
      <c r="C377" s="12">
        <v>1027</v>
      </c>
      <c r="D377" s="4" t="s">
        <v>242</v>
      </c>
      <c r="E377" s="4" t="s">
        <v>14</v>
      </c>
      <c r="F377" s="4" t="s">
        <v>33</v>
      </c>
      <c r="G377" s="4" t="s">
        <v>34</v>
      </c>
      <c r="H377" s="4" t="s">
        <v>115</v>
      </c>
      <c r="I377" s="4">
        <v>997.5</v>
      </c>
      <c r="J377" s="4" t="s">
        <v>242</v>
      </c>
      <c r="K377" s="4" t="s">
        <v>18</v>
      </c>
      <c r="L377" t="s">
        <v>707</v>
      </c>
      <c r="M377" s="9">
        <f t="shared" si="35"/>
        <v>1246.4288199999999</v>
      </c>
      <c r="N377">
        <v>0</v>
      </c>
      <c r="O377" s="9">
        <v>0</v>
      </c>
      <c r="P377" s="9">
        <f t="shared" si="36"/>
        <v>-1246.4288199999999</v>
      </c>
      <c r="Q377" s="16">
        <f t="shared" si="38"/>
        <v>1246.4288199999999</v>
      </c>
    </row>
    <row r="378" spans="1:17" x14ac:dyDescent="0.25">
      <c r="A378" s="3" t="s">
        <v>709</v>
      </c>
      <c r="B378" s="4" t="s">
        <v>710</v>
      </c>
      <c r="C378" s="12">
        <v>1071</v>
      </c>
      <c r="D378" s="4" t="s">
        <v>242</v>
      </c>
      <c r="E378" s="4" t="s">
        <v>14</v>
      </c>
      <c r="F378" s="4" t="s">
        <v>33</v>
      </c>
      <c r="G378" s="4" t="s">
        <v>34</v>
      </c>
      <c r="H378" s="4" t="s">
        <v>115</v>
      </c>
      <c r="I378" s="4">
        <v>1039.5</v>
      </c>
      <c r="J378" s="4" t="s">
        <v>242</v>
      </c>
      <c r="K378" s="4" t="s">
        <v>18</v>
      </c>
      <c r="L378" t="s">
        <v>709</v>
      </c>
      <c r="M378" s="9">
        <f t="shared" si="35"/>
        <v>1299.8298600000001</v>
      </c>
      <c r="N378">
        <v>0</v>
      </c>
      <c r="O378" s="9">
        <v>0</v>
      </c>
      <c r="P378" s="9">
        <f t="shared" si="36"/>
        <v>-1299.8298600000001</v>
      </c>
      <c r="Q378" s="16">
        <f t="shared" si="38"/>
        <v>1299.8298600000001</v>
      </c>
    </row>
    <row r="379" spans="1:17" x14ac:dyDescent="0.25">
      <c r="A379" s="3" t="s">
        <v>711</v>
      </c>
      <c r="B379" s="4" t="s">
        <v>712</v>
      </c>
      <c r="C379" s="12">
        <v>1352</v>
      </c>
      <c r="D379" s="4" t="s">
        <v>242</v>
      </c>
      <c r="E379" s="4" t="s">
        <v>14</v>
      </c>
      <c r="F379" s="4" t="s">
        <v>33</v>
      </c>
      <c r="G379" s="4" t="s">
        <v>34</v>
      </c>
      <c r="H379" s="4" t="s">
        <v>115</v>
      </c>
      <c r="I379" s="4">
        <v>1312.5</v>
      </c>
      <c r="J379" s="4" t="s">
        <v>242</v>
      </c>
      <c r="K379" s="4" t="s">
        <v>18</v>
      </c>
      <c r="L379" t="s">
        <v>711</v>
      </c>
      <c r="M379" s="9">
        <f t="shared" si="35"/>
        <v>1640.86832</v>
      </c>
      <c r="N379">
        <v>0</v>
      </c>
      <c r="O379" s="9">
        <v>0</v>
      </c>
      <c r="P379" s="9">
        <f t="shared" si="36"/>
        <v>-1640.86832</v>
      </c>
      <c r="Q379" s="16">
        <f t="shared" si="38"/>
        <v>1640.86832</v>
      </c>
    </row>
    <row r="380" spans="1:17" x14ac:dyDescent="0.25">
      <c r="A380" s="3" t="s">
        <v>713</v>
      </c>
      <c r="B380" s="4" t="s">
        <v>714</v>
      </c>
      <c r="C380" s="12">
        <v>1488</v>
      </c>
      <c r="D380" s="4" t="s">
        <v>242</v>
      </c>
      <c r="E380" s="4" t="s">
        <v>14</v>
      </c>
      <c r="F380" s="4" t="s">
        <v>33</v>
      </c>
      <c r="G380" s="4" t="s">
        <v>34</v>
      </c>
      <c r="H380" s="4" t="s">
        <v>115</v>
      </c>
      <c r="I380" s="4">
        <v>1443.75</v>
      </c>
      <c r="J380" s="4" t="s">
        <v>242</v>
      </c>
      <c r="K380" s="4" t="s">
        <v>18</v>
      </c>
      <c r="L380" t="s">
        <v>713</v>
      </c>
      <c r="M380" s="9">
        <f t="shared" si="35"/>
        <v>1805.92608</v>
      </c>
      <c r="N380">
        <v>0</v>
      </c>
      <c r="O380" s="9">
        <v>0</v>
      </c>
      <c r="P380" s="9">
        <f t="shared" si="36"/>
        <v>-1805.92608</v>
      </c>
      <c r="Q380" s="16">
        <f t="shared" si="38"/>
        <v>1805.92608</v>
      </c>
    </row>
    <row r="381" spans="1:17" x14ac:dyDescent="0.25">
      <c r="A381" s="3" t="s">
        <v>715</v>
      </c>
      <c r="B381" s="4" t="s">
        <v>716</v>
      </c>
      <c r="C381" s="12">
        <v>1908</v>
      </c>
      <c r="D381" s="4" t="s">
        <v>242</v>
      </c>
      <c r="E381" s="4" t="s">
        <v>14</v>
      </c>
      <c r="F381" s="4" t="s">
        <v>33</v>
      </c>
      <c r="G381" s="4" t="s">
        <v>34</v>
      </c>
      <c r="H381" s="4" t="s">
        <v>115</v>
      </c>
      <c r="I381" s="4">
        <v>1853.25</v>
      </c>
      <c r="J381" s="4" t="s">
        <v>242</v>
      </c>
      <c r="K381" s="4" t="s">
        <v>18</v>
      </c>
      <c r="L381" t="s">
        <v>715</v>
      </c>
      <c r="M381" s="9">
        <f t="shared" si="35"/>
        <v>2315.6632799999998</v>
      </c>
      <c r="N381">
        <v>0</v>
      </c>
      <c r="O381" s="9">
        <v>0</v>
      </c>
      <c r="P381" s="9">
        <f t="shared" si="36"/>
        <v>-2315.6632799999998</v>
      </c>
      <c r="Q381" s="16">
        <f t="shared" si="38"/>
        <v>2315.6632799999998</v>
      </c>
    </row>
    <row r="382" spans="1:17" x14ac:dyDescent="0.25">
      <c r="A382" s="3" t="s">
        <v>717</v>
      </c>
      <c r="B382" s="4" t="s">
        <v>718</v>
      </c>
      <c r="C382" s="12">
        <v>1947</v>
      </c>
      <c r="D382" s="4" t="s">
        <v>242</v>
      </c>
      <c r="E382" s="4" t="s">
        <v>14</v>
      </c>
      <c r="F382" s="4" t="s">
        <v>33</v>
      </c>
      <c r="G382" s="4" t="s">
        <v>34</v>
      </c>
      <c r="H382" s="4" t="s">
        <v>115</v>
      </c>
      <c r="I382" s="4">
        <v>1890</v>
      </c>
      <c r="J382" s="4" t="s">
        <v>242</v>
      </c>
      <c r="K382" s="4" t="s">
        <v>18</v>
      </c>
      <c r="L382" t="s">
        <v>717</v>
      </c>
      <c r="M382" s="9">
        <f t="shared" si="35"/>
        <v>2362.99602</v>
      </c>
      <c r="N382">
        <v>0</v>
      </c>
      <c r="O382" s="9">
        <v>0</v>
      </c>
      <c r="P382" s="9">
        <f t="shared" si="36"/>
        <v>-2362.99602</v>
      </c>
      <c r="Q382" s="16">
        <f t="shared" si="38"/>
        <v>2362.99602</v>
      </c>
    </row>
    <row r="383" spans="1:17" x14ac:dyDescent="0.25">
      <c r="A383" s="3" t="s">
        <v>719</v>
      </c>
      <c r="B383" s="4" t="s">
        <v>720</v>
      </c>
      <c r="C383" s="12">
        <v>500</v>
      </c>
      <c r="D383" s="4" t="s">
        <v>13</v>
      </c>
      <c r="E383" s="4" t="s">
        <v>14</v>
      </c>
      <c r="F383" s="4" t="s">
        <v>33</v>
      </c>
      <c r="G383" s="4" t="s">
        <v>34</v>
      </c>
      <c r="H383" s="4" t="s">
        <v>115</v>
      </c>
      <c r="I383" s="4">
        <v>388.28</v>
      </c>
      <c r="J383" s="4" t="s">
        <v>13</v>
      </c>
      <c r="K383" s="4" t="s">
        <v>18</v>
      </c>
      <c r="L383" t="s">
        <v>719</v>
      </c>
      <c r="M383" s="9">
        <f t="shared" si="35"/>
        <v>606.82999999999993</v>
      </c>
      <c r="N383">
        <v>0</v>
      </c>
      <c r="O383" s="9">
        <v>0</v>
      </c>
      <c r="P383" s="9">
        <f t="shared" si="36"/>
        <v>-606.82999999999993</v>
      </c>
      <c r="Q383" s="16">
        <f t="shared" si="38"/>
        <v>606.82999999999993</v>
      </c>
    </row>
    <row r="384" spans="1:17" x14ac:dyDescent="0.25">
      <c r="A384" s="3" t="s">
        <v>721</v>
      </c>
      <c r="B384" s="4" t="s">
        <v>722</v>
      </c>
      <c r="C384" s="12">
        <v>1244</v>
      </c>
      <c r="D384" s="4" t="s">
        <v>242</v>
      </c>
      <c r="E384" s="4" t="s">
        <v>14</v>
      </c>
      <c r="F384" s="4" t="s">
        <v>33</v>
      </c>
      <c r="G384" s="4" t="s">
        <v>34</v>
      </c>
      <c r="H384" s="4" t="s">
        <v>115</v>
      </c>
      <c r="I384" s="4">
        <v>1207.5</v>
      </c>
      <c r="J384" s="4" t="s">
        <v>242</v>
      </c>
      <c r="K384" s="4" t="s">
        <v>18</v>
      </c>
      <c r="L384" t="s">
        <v>721</v>
      </c>
      <c r="M384" s="9">
        <f t="shared" si="35"/>
        <v>1509.79304</v>
      </c>
      <c r="N384">
        <v>0</v>
      </c>
      <c r="O384" s="9">
        <v>0</v>
      </c>
      <c r="P384" s="9">
        <f t="shared" si="36"/>
        <v>-1509.79304</v>
      </c>
      <c r="Q384" s="16">
        <f t="shared" si="38"/>
        <v>1509.79304</v>
      </c>
    </row>
    <row r="385" spans="1:17" x14ac:dyDescent="0.25">
      <c r="A385" s="3" t="s">
        <v>723</v>
      </c>
      <c r="B385" s="4" t="s">
        <v>724</v>
      </c>
      <c r="C385" s="12">
        <v>1757</v>
      </c>
      <c r="D385" s="4" t="s">
        <v>242</v>
      </c>
      <c r="E385" s="4" t="s">
        <v>14</v>
      </c>
      <c r="F385" s="4" t="s">
        <v>33</v>
      </c>
      <c r="G385" s="4" t="s">
        <v>34</v>
      </c>
      <c r="H385" s="4" t="s">
        <v>115</v>
      </c>
      <c r="I385" s="4">
        <v>1706.25</v>
      </c>
      <c r="J385" s="4" t="s">
        <v>242</v>
      </c>
      <c r="K385" s="4" t="s">
        <v>18</v>
      </c>
      <c r="L385" t="s">
        <v>723</v>
      </c>
      <c r="M385" s="9">
        <f t="shared" si="35"/>
        <v>2132.4006199999999</v>
      </c>
      <c r="N385">
        <v>0</v>
      </c>
      <c r="O385" s="9">
        <v>0</v>
      </c>
      <c r="P385" s="9">
        <f t="shared" si="36"/>
        <v>-2132.4006199999999</v>
      </c>
      <c r="Q385" s="16">
        <f t="shared" si="38"/>
        <v>2132.4006199999999</v>
      </c>
    </row>
    <row r="386" spans="1:17" x14ac:dyDescent="0.25">
      <c r="A386" s="3" t="s">
        <v>725</v>
      </c>
      <c r="B386" s="4" t="s">
        <v>726</v>
      </c>
      <c r="C386" s="12">
        <v>1947</v>
      </c>
      <c r="D386" s="4" t="s">
        <v>242</v>
      </c>
      <c r="E386" s="4" t="s">
        <v>14</v>
      </c>
      <c r="F386" s="4" t="s">
        <v>33</v>
      </c>
      <c r="G386" s="4" t="s">
        <v>34</v>
      </c>
      <c r="H386" s="4" t="s">
        <v>115</v>
      </c>
      <c r="I386" s="4">
        <v>1890</v>
      </c>
      <c r="J386" s="4" t="s">
        <v>242</v>
      </c>
      <c r="K386" s="4" t="s">
        <v>18</v>
      </c>
      <c r="L386" t="s">
        <v>725</v>
      </c>
      <c r="M386" s="9">
        <f t="shared" si="35"/>
        <v>2362.99602</v>
      </c>
      <c r="N386">
        <v>0</v>
      </c>
      <c r="O386" s="9">
        <v>0</v>
      </c>
      <c r="P386" s="9">
        <f t="shared" si="36"/>
        <v>-2362.99602</v>
      </c>
      <c r="Q386" s="16">
        <f t="shared" si="38"/>
        <v>2362.99602</v>
      </c>
    </row>
    <row r="387" spans="1:17" x14ac:dyDescent="0.25">
      <c r="A387" s="3" t="s">
        <v>727</v>
      </c>
      <c r="B387" s="4" t="s">
        <v>728</v>
      </c>
      <c r="C387" s="12">
        <v>985</v>
      </c>
      <c r="D387" s="4" t="s">
        <v>13</v>
      </c>
      <c r="E387" s="4" t="s">
        <v>14</v>
      </c>
      <c r="F387" s="4" t="s">
        <v>33</v>
      </c>
      <c r="G387" s="4" t="s">
        <v>34</v>
      </c>
      <c r="H387" s="4" t="s">
        <v>115</v>
      </c>
      <c r="I387" s="4">
        <v>956.55</v>
      </c>
      <c r="J387" s="4" t="s">
        <v>13</v>
      </c>
      <c r="K387" s="4" t="s">
        <v>18</v>
      </c>
      <c r="L387" t="s">
        <v>727</v>
      </c>
      <c r="M387" s="9">
        <f t="shared" ref="M387:M450" si="41">C387*1.21366</f>
        <v>1195.4550999999999</v>
      </c>
      <c r="N387">
        <v>0</v>
      </c>
      <c r="O387" s="9">
        <v>0</v>
      </c>
      <c r="P387" s="9">
        <f t="shared" ref="P387:P450" si="42">O387-M387</f>
        <v>-1195.4550999999999</v>
      </c>
      <c r="Q387" s="16">
        <f t="shared" si="38"/>
        <v>1195.4550999999999</v>
      </c>
    </row>
    <row r="388" spans="1:17" x14ac:dyDescent="0.25">
      <c r="A388" s="3" t="s">
        <v>729</v>
      </c>
      <c r="B388" s="4" t="s">
        <v>730</v>
      </c>
      <c r="C388" s="12">
        <v>1423</v>
      </c>
      <c r="D388" s="4" t="s">
        <v>13</v>
      </c>
      <c r="E388" s="4" t="s">
        <v>14</v>
      </c>
      <c r="F388" s="4" t="s">
        <v>33</v>
      </c>
      <c r="G388" s="4" t="s">
        <v>34</v>
      </c>
      <c r="H388" s="4" t="s">
        <v>115</v>
      </c>
      <c r="I388" s="4">
        <v>1382.33</v>
      </c>
      <c r="J388" s="4" t="s">
        <v>13</v>
      </c>
      <c r="K388" s="4" t="s">
        <v>18</v>
      </c>
      <c r="L388" t="s">
        <v>729</v>
      </c>
      <c r="M388" s="9">
        <f t="shared" si="41"/>
        <v>1727.03818</v>
      </c>
      <c r="N388" t="s">
        <v>729</v>
      </c>
      <c r="O388" s="9">
        <v>1640.7179000000001</v>
      </c>
      <c r="P388" s="9">
        <f t="shared" si="42"/>
        <v>-86.320279999999912</v>
      </c>
      <c r="Q388" s="16">
        <f t="shared" si="38"/>
        <v>1727.03818</v>
      </c>
    </row>
    <row r="389" spans="1:17" x14ac:dyDescent="0.25">
      <c r="A389" s="3" t="s">
        <v>731</v>
      </c>
      <c r="B389" s="4" t="s">
        <v>732</v>
      </c>
      <c r="C389" s="12">
        <v>1460</v>
      </c>
      <c r="D389" s="4" t="s">
        <v>13</v>
      </c>
      <c r="E389" s="4" t="s">
        <v>14</v>
      </c>
      <c r="F389" s="4" t="s">
        <v>33</v>
      </c>
      <c r="G389" s="4" t="s">
        <v>34</v>
      </c>
      <c r="H389" s="4" t="s">
        <v>115</v>
      </c>
      <c r="I389" s="4">
        <v>1417.5</v>
      </c>
      <c r="J389" s="4" t="s">
        <v>13</v>
      </c>
      <c r="K389" s="4" t="s">
        <v>18</v>
      </c>
      <c r="L389" t="s">
        <v>731</v>
      </c>
      <c r="M389" s="9">
        <f t="shared" si="41"/>
        <v>1771.9435999999998</v>
      </c>
      <c r="N389">
        <v>0</v>
      </c>
      <c r="O389" s="9">
        <v>0</v>
      </c>
      <c r="P389" s="9">
        <f t="shared" si="42"/>
        <v>-1771.9435999999998</v>
      </c>
      <c r="Q389" s="16">
        <f t="shared" si="38"/>
        <v>1771.9435999999998</v>
      </c>
    </row>
    <row r="390" spans="1:17" x14ac:dyDescent="0.25">
      <c r="A390" s="3" t="s">
        <v>733</v>
      </c>
      <c r="B390" s="4" t="s">
        <v>734</v>
      </c>
      <c r="C390" s="12">
        <f>I390*3%+I390</f>
        <v>135.1875</v>
      </c>
      <c r="D390" s="4" t="s">
        <v>13</v>
      </c>
      <c r="E390" s="4" t="s">
        <v>23</v>
      </c>
      <c r="F390" s="4" t="s">
        <v>49</v>
      </c>
      <c r="G390" s="4" t="s">
        <v>50</v>
      </c>
      <c r="H390" s="4" t="s">
        <v>50</v>
      </c>
      <c r="I390" s="4">
        <v>131.25</v>
      </c>
      <c r="J390" s="4" t="s">
        <v>13</v>
      </c>
      <c r="K390" s="4" t="s">
        <v>18</v>
      </c>
      <c r="L390" t="s">
        <v>733</v>
      </c>
      <c r="M390" s="9">
        <f t="shared" si="41"/>
        <v>164.07166125000001</v>
      </c>
      <c r="N390">
        <v>0</v>
      </c>
      <c r="O390" s="9">
        <v>0</v>
      </c>
      <c r="P390" s="9">
        <f t="shared" si="42"/>
        <v>-164.07166125000001</v>
      </c>
      <c r="Q390" s="16">
        <f t="shared" si="38"/>
        <v>164.07166125000001</v>
      </c>
    </row>
    <row r="391" spans="1:17" x14ac:dyDescent="0.25">
      <c r="A391" s="3" t="s">
        <v>735</v>
      </c>
      <c r="B391" s="4" t="s">
        <v>736</v>
      </c>
      <c r="C391" s="12">
        <f t="shared" ref="C391:C393" si="43">I391*3%+I391</f>
        <v>519.12</v>
      </c>
      <c r="D391" s="4" t="s">
        <v>13</v>
      </c>
      <c r="E391" s="4" t="s">
        <v>14</v>
      </c>
      <c r="F391" s="4" t="s">
        <v>33</v>
      </c>
      <c r="G391" s="4" t="s">
        <v>34</v>
      </c>
      <c r="H391" s="4" t="s">
        <v>115</v>
      </c>
      <c r="I391" s="4">
        <v>504</v>
      </c>
      <c r="J391" s="4" t="s">
        <v>13</v>
      </c>
      <c r="K391" s="4" t="s">
        <v>18</v>
      </c>
      <c r="L391" t="s">
        <v>735</v>
      </c>
      <c r="M391" s="9">
        <f t="shared" si="41"/>
        <v>630.03517920000002</v>
      </c>
      <c r="N391">
        <v>0</v>
      </c>
      <c r="O391" s="9">
        <v>0</v>
      </c>
      <c r="P391" s="9">
        <f t="shared" si="42"/>
        <v>-630.03517920000002</v>
      </c>
      <c r="Q391" s="16">
        <f t="shared" si="38"/>
        <v>630.03517920000002</v>
      </c>
    </row>
    <row r="392" spans="1:17" x14ac:dyDescent="0.25">
      <c r="A392" s="3" t="s">
        <v>737</v>
      </c>
      <c r="B392" s="4" t="s">
        <v>738</v>
      </c>
      <c r="C392" s="12">
        <f t="shared" si="43"/>
        <v>1622.25</v>
      </c>
      <c r="D392" s="4" t="s">
        <v>13</v>
      </c>
      <c r="E392" s="4" t="s">
        <v>14</v>
      </c>
      <c r="F392" s="4" t="s">
        <v>33</v>
      </c>
      <c r="G392" s="4" t="s">
        <v>34</v>
      </c>
      <c r="H392" s="4" t="s">
        <v>115</v>
      </c>
      <c r="I392" s="4">
        <v>1575</v>
      </c>
      <c r="J392" s="4" t="s">
        <v>13</v>
      </c>
      <c r="K392" s="4" t="s">
        <v>18</v>
      </c>
      <c r="L392" t="s">
        <v>737</v>
      </c>
      <c r="M392" s="9">
        <f t="shared" si="41"/>
        <v>1968.859935</v>
      </c>
      <c r="N392">
        <v>0</v>
      </c>
      <c r="O392" s="9">
        <v>0</v>
      </c>
      <c r="P392" s="9">
        <f t="shared" si="42"/>
        <v>-1968.859935</v>
      </c>
      <c r="Q392" s="16">
        <f t="shared" si="38"/>
        <v>1968.859935</v>
      </c>
    </row>
    <row r="393" spans="1:17" x14ac:dyDescent="0.25">
      <c r="A393" s="3" t="s">
        <v>739</v>
      </c>
      <c r="B393" s="4" t="s">
        <v>740</v>
      </c>
      <c r="C393" s="12">
        <f t="shared" si="43"/>
        <v>1135.575</v>
      </c>
      <c r="D393" s="4" t="s">
        <v>13</v>
      </c>
      <c r="E393" s="4" t="s">
        <v>14</v>
      </c>
      <c r="F393" s="4" t="s">
        <v>33</v>
      </c>
      <c r="G393" s="4" t="s">
        <v>34</v>
      </c>
      <c r="H393" s="4" t="s">
        <v>115</v>
      </c>
      <c r="I393" s="4">
        <v>1102.5</v>
      </c>
      <c r="J393" s="4" t="s">
        <v>13</v>
      </c>
      <c r="K393" s="4" t="s">
        <v>18</v>
      </c>
      <c r="L393" t="s">
        <v>739</v>
      </c>
      <c r="M393" s="9">
        <f t="shared" si="41"/>
        <v>1378.2019545000001</v>
      </c>
      <c r="N393">
        <v>0</v>
      </c>
      <c r="O393" s="9">
        <v>0</v>
      </c>
      <c r="P393" s="9">
        <f t="shared" si="42"/>
        <v>-1378.2019545000001</v>
      </c>
      <c r="Q393" s="16">
        <f t="shared" si="38"/>
        <v>1378.2019545000001</v>
      </c>
    </row>
    <row r="394" spans="1:17" x14ac:dyDescent="0.25">
      <c r="A394" s="3">
        <v>2516005</v>
      </c>
      <c r="B394" s="4" t="s">
        <v>741</v>
      </c>
      <c r="C394" s="12">
        <v>120.8</v>
      </c>
      <c r="D394" s="4" t="s">
        <v>118</v>
      </c>
      <c r="E394" s="4" t="s">
        <v>14</v>
      </c>
      <c r="F394" s="4" t="s">
        <v>33</v>
      </c>
      <c r="G394" s="4" t="s">
        <v>34</v>
      </c>
      <c r="H394" s="4" t="s">
        <v>330</v>
      </c>
      <c r="I394" s="4">
        <v>23.456499000000001</v>
      </c>
      <c r="J394" s="4" t="s">
        <v>331</v>
      </c>
      <c r="K394" s="4" t="s">
        <v>18</v>
      </c>
      <c r="L394">
        <v>0</v>
      </c>
      <c r="M394" s="9">
        <f t="shared" si="41"/>
        <v>146.610128</v>
      </c>
      <c r="N394">
        <v>0</v>
      </c>
      <c r="O394" s="9">
        <v>0</v>
      </c>
      <c r="P394" s="9">
        <f t="shared" si="42"/>
        <v>-146.610128</v>
      </c>
      <c r="Q394" s="16">
        <f t="shared" si="38"/>
        <v>146.610128</v>
      </c>
    </row>
    <row r="395" spans="1:17" x14ac:dyDescent="0.25">
      <c r="A395" s="3">
        <v>2580714</v>
      </c>
      <c r="B395" s="4" t="s">
        <v>742</v>
      </c>
      <c r="C395" s="12">
        <v>200.85</v>
      </c>
      <c r="D395" s="4" t="s">
        <v>111</v>
      </c>
      <c r="E395" s="4"/>
      <c r="F395" s="4" t="s">
        <v>33</v>
      </c>
      <c r="G395" s="4" t="s">
        <v>34</v>
      </c>
      <c r="H395" s="4" t="s">
        <v>112</v>
      </c>
      <c r="I395" s="4">
        <v>195</v>
      </c>
      <c r="J395" s="4" t="s">
        <v>111</v>
      </c>
      <c r="K395" s="4" t="s">
        <v>18</v>
      </c>
      <c r="L395">
        <v>0</v>
      </c>
      <c r="M395" s="9">
        <f t="shared" si="41"/>
        <v>243.763611</v>
      </c>
      <c r="N395">
        <v>0</v>
      </c>
      <c r="O395" s="9">
        <v>0</v>
      </c>
      <c r="P395" s="9">
        <f t="shared" si="42"/>
        <v>-243.763611</v>
      </c>
      <c r="Q395" s="16">
        <f t="shared" si="38"/>
        <v>243.763611</v>
      </c>
    </row>
    <row r="396" spans="1:17" x14ac:dyDescent="0.25">
      <c r="A396" s="3" t="s">
        <v>743</v>
      </c>
      <c r="B396" s="4" t="s">
        <v>744</v>
      </c>
      <c r="C396" s="12">
        <v>4000</v>
      </c>
      <c r="D396" s="4" t="s">
        <v>504</v>
      </c>
      <c r="E396" s="4" t="s">
        <v>14</v>
      </c>
      <c r="F396" s="4" t="s">
        <v>33</v>
      </c>
      <c r="G396" s="4" t="s">
        <v>34</v>
      </c>
      <c r="H396" s="4" t="s">
        <v>696</v>
      </c>
      <c r="I396" s="4">
        <v>18.666699999999999</v>
      </c>
      <c r="J396" s="4" t="s">
        <v>331</v>
      </c>
      <c r="K396" s="4" t="s">
        <v>18</v>
      </c>
      <c r="L396">
        <v>0</v>
      </c>
      <c r="M396" s="9">
        <f t="shared" si="41"/>
        <v>4854.6399999999994</v>
      </c>
      <c r="N396">
        <v>0</v>
      </c>
      <c r="O396" s="9">
        <v>0</v>
      </c>
      <c r="P396" s="9">
        <f t="shared" si="42"/>
        <v>-4854.6399999999994</v>
      </c>
      <c r="Q396" s="16">
        <f t="shared" si="38"/>
        <v>4854.6399999999994</v>
      </c>
    </row>
    <row r="397" spans="1:17" x14ac:dyDescent="0.25">
      <c r="A397" s="3" t="s">
        <v>745</v>
      </c>
      <c r="B397" s="4" t="s">
        <v>746</v>
      </c>
      <c r="C397" s="12">
        <v>2400</v>
      </c>
      <c r="D397" s="4" t="s">
        <v>504</v>
      </c>
      <c r="E397" s="4" t="s">
        <v>14</v>
      </c>
      <c r="F397" s="4" t="s">
        <v>33</v>
      </c>
      <c r="G397" s="4" t="s">
        <v>34</v>
      </c>
      <c r="H397" s="4" t="s">
        <v>696</v>
      </c>
      <c r="I397" s="4">
        <v>3167.8447500000002</v>
      </c>
      <c r="J397" s="4" t="s">
        <v>504</v>
      </c>
      <c r="K397" s="4" t="s">
        <v>18</v>
      </c>
      <c r="L397">
        <v>0</v>
      </c>
      <c r="M397" s="9">
        <f t="shared" si="41"/>
        <v>2912.7840000000001</v>
      </c>
      <c r="N397">
        <v>0</v>
      </c>
      <c r="O397" s="9">
        <v>0</v>
      </c>
      <c r="P397" s="9">
        <f t="shared" si="42"/>
        <v>-2912.7840000000001</v>
      </c>
      <c r="Q397" s="16">
        <f t="shared" si="38"/>
        <v>2912.7840000000001</v>
      </c>
    </row>
    <row r="398" spans="1:17" x14ac:dyDescent="0.25">
      <c r="A398" s="3">
        <v>7351614</v>
      </c>
      <c r="B398" s="4" t="s">
        <v>747</v>
      </c>
      <c r="C398" s="12">
        <v>100</v>
      </c>
      <c r="D398" s="4" t="s">
        <v>111</v>
      </c>
      <c r="E398" s="4" t="s">
        <v>14</v>
      </c>
      <c r="F398" s="4" t="s">
        <v>33</v>
      </c>
      <c r="G398" s="4" t="s">
        <v>34</v>
      </c>
      <c r="H398" s="4" t="s">
        <v>696</v>
      </c>
      <c r="I398" s="4">
        <v>120.86</v>
      </c>
      <c r="J398" s="4" t="s">
        <v>111</v>
      </c>
      <c r="K398" s="4" t="s">
        <v>18</v>
      </c>
      <c r="L398">
        <v>0</v>
      </c>
      <c r="M398" s="9">
        <f t="shared" si="41"/>
        <v>121.366</v>
      </c>
      <c r="N398">
        <v>0</v>
      </c>
      <c r="O398" s="9">
        <v>0</v>
      </c>
      <c r="P398" s="9">
        <f t="shared" si="42"/>
        <v>-121.366</v>
      </c>
      <c r="Q398" s="16">
        <f t="shared" si="38"/>
        <v>121.366</v>
      </c>
    </row>
    <row r="399" spans="1:17" x14ac:dyDescent="0.25">
      <c r="A399" s="3">
        <v>7351714</v>
      </c>
      <c r="B399" s="4" t="s">
        <v>748</v>
      </c>
      <c r="C399" s="12">
        <v>84</v>
      </c>
      <c r="D399" s="4" t="s">
        <v>111</v>
      </c>
      <c r="E399" s="4" t="s">
        <v>14</v>
      </c>
      <c r="F399" s="4" t="s">
        <v>33</v>
      </c>
      <c r="G399" s="4" t="s">
        <v>34</v>
      </c>
      <c r="H399" s="4" t="s">
        <v>696</v>
      </c>
      <c r="I399" s="4">
        <v>122.53</v>
      </c>
      <c r="J399" s="4" t="s">
        <v>111</v>
      </c>
      <c r="K399" s="4" t="s">
        <v>18</v>
      </c>
      <c r="L399">
        <v>0</v>
      </c>
      <c r="M399" s="9">
        <f t="shared" si="41"/>
        <v>101.94744</v>
      </c>
      <c r="N399">
        <v>0</v>
      </c>
      <c r="O399" s="9">
        <v>0</v>
      </c>
      <c r="P399" s="9">
        <f t="shared" si="42"/>
        <v>-101.94744</v>
      </c>
      <c r="Q399" s="16">
        <f t="shared" si="38"/>
        <v>101.94744</v>
      </c>
    </row>
    <row r="400" spans="1:17" x14ac:dyDescent="0.25">
      <c r="A400" s="3">
        <v>7356377</v>
      </c>
      <c r="B400" s="4" t="s">
        <v>749</v>
      </c>
      <c r="C400" s="12">
        <v>2500</v>
      </c>
      <c r="D400" s="4" t="s">
        <v>504</v>
      </c>
      <c r="E400" s="4" t="s">
        <v>14</v>
      </c>
      <c r="F400" s="4" t="s">
        <v>33</v>
      </c>
      <c r="G400" s="4" t="s">
        <v>34</v>
      </c>
      <c r="H400" s="4" t="s">
        <v>696</v>
      </c>
      <c r="I400" s="4">
        <v>4324.25</v>
      </c>
      <c r="J400" s="4" t="s">
        <v>504</v>
      </c>
      <c r="K400" s="4" t="s">
        <v>18</v>
      </c>
      <c r="L400">
        <v>0</v>
      </c>
      <c r="M400" s="9">
        <f t="shared" si="41"/>
        <v>3034.15</v>
      </c>
      <c r="N400">
        <v>0</v>
      </c>
      <c r="O400" s="9">
        <v>0</v>
      </c>
      <c r="P400" s="9">
        <f t="shared" si="42"/>
        <v>-3034.15</v>
      </c>
      <c r="Q400" s="16">
        <f t="shared" si="38"/>
        <v>3034.15</v>
      </c>
    </row>
    <row r="401" spans="1:17" x14ac:dyDescent="0.25">
      <c r="A401" s="3">
        <v>7356476</v>
      </c>
      <c r="B401" s="4" t="s">
        <v>750</v>
      </c>
      <c r="C401" s="12">
        <v>2500</v>
      </c>
      <c r="D401" s="4" t="s">
        <v>504</v>
      </c>
      <c r="E401" s="4" t="s">
        <v>14</v>
      </c>
      <c r="F401" s="4" t="s">
        <v>33</v>
      </c>
      <c r="G401" s="4" t="s">
        <v>34</v>
      </c>
      <c r="H401" s="4" t="s">
        <v>696</v>
      </c>
      <c r="I401" s="4">
        <v>3577.6</v>
      </c>
      <c r="J401" s="4" t="s">
        <v>504</v>
      </c>
      <c r="K401" s="4" t="s">
        <v>18</v>
      </c>
      <c r="L401">
        <v>0</v>
      </c>
      <c r="M401" s="9">
        <f t="shared" si="41"/>
        <v>3034.15</v>
      </c>
      <c r="N401">
        <v>0</v>
      </c>
      <c r="O401" s="9">
        <v>0</v>
      </c>
      <c r="P401" s="9">
        <f t="shared" si="42"/>
        <v>-3034.15</v>
      </c>
      <c r="Q401" s="16">
        <f t="shared" si="38"/>
        <v>3034.15</v>
      </c>
    </row>
    <row r="402" spans="1:17" x14ac:dyDescent="0.25">
      <c r="A402" s="3">
        <v>7352531</v>
      </c>
      <c r="B402" s="4" t="s">
        <v>751</v>
      </c>
      <c r="C402" s="12">
        <v>118</v>
      </c>
      <c r="D402" s="4" t="s">
        <v>111</v>
      </c>
      <c r="E402" s="4" t="s">
        <v>14</v>
      </c>
      <c r="F402" s="4" t="s">
        <v>33</v>
      </c>
      <c r="G402" s="4" t="s">
        <v>34</v>
      </c>
      <c r="H402" s="4" t="s">
        <v>112</v>
      </c>
      <c r="I402" s="4">
        <v>32.741700000000002</v>
      </c>
      <c r="J402" s="4" t="s">
        <v>283</v>
      </c>
      <c r="K402" s="4" t="s">
        <v>18</v>
      </c>
      <c r="L402">
        <v>0</v>
      </c>
      <c r="M402" s="9">
        <f t="shared" si="41"/>
        <v>143.21188000000001</v>
      </c>
      <c r="N402">
        <v>0</v>
      </c>
      <c r="O402" s="9">
        <v>0</v>
      </c>
      <c r="P402" s="9">
        <f t="shared" si="42"/>
        <v>-143.21188000000001</v>
      </c>
      <c r="Q402" s="16">
        <f t="shared" si="38"/>
        <v>143.21188000000001</v>
      </c>
    </row>
    <row r="403" spans="1:17" x14ac:dyDescent="0.25">
      <c r="A403" s="3" t="s">
        <v>752</v>
      </c>
      <c r="B403" s="4" t="s">
        <v>753</v>
      </c>
      <c r="C403" s="12">
        <v>262.642</v>
      </c>
      <c r="D403" s="4" t="s">
        <v>111</v>
      </c>
      <c r="E403" s="4" t="s">
        <v>14</v>
      </c>
      <c r="F403" s="4" t="s">
        <v>33</v>
      </c>
      <c r="G403" s="4" t="s">
        <v>34</v>
      </c>
      <c r="H403" s="4" t="s">
        <v>112</v>
      </c>
      <c r="I403" s="4">
        <v>20.901</v>
      </c>
      <c r="J403" s="4" t="s">
        <v>331</v>
      </c>
      <c r="K403" s="4" t="s">
        <v>18</v>
      </c>
      <c r="L403">
        <v>0</v>
      </c>
      <c r="M403" s="9">
        <f t="shared" si="41"/>
        <v>318.75808971999999</v>
      </c>
      <c r="N403">
        <v>0</v>
      </c>
      <c r="O403" s="9">
        <v>0</v>
      </c>
      <c r="P403" s="9">
        <f t="shared" si="42"/>
        <v>-318.75808971999999</v>
      </c>
      <c r="Q403" s="16">
        <f t="shared" si="38"/>
        <v>318.75808971999999</v>
      </c>
    </row>
    <row r="404" spans="1:17" x14ac:dyDescent="0.25">
      <c r="A404" s="3" t="s">
        <v>754</v>
      </c>
      <c r="B404" s="4" t="s">
        <v>755</v>
      </c>
      <c r="C404" s="12">
        <v>63.73</v>
      </c>
      <c r="D404" s="4" t="s">
        <v>111</v>
      </c>
      <c r="E404" s="4" t="s">
        <v>14</v>
      </c>
      <c r="F404" s="4" t="s">
        <v>33</v>
      </c>
      <c r="G404" s="4" t="s">
        <v>34</v>
      </c>
      <c r="H404" s="4" t="s">
        <v>112</v>
      </c>
      <c r="I404" s="4">
        <v>61.878</v>
      </c>
      <c r="J404" s="4" t="s">
        <v>111</v>
      </c>
      <c r="K404" s="4" t="s">
        <v>18</v>
      </c>
      <c r="L404">
        <v>0</v>
      </c>
      <c r="M404" s="9">
        <f t="shared" si="41"/>
        <v>77.3465518</v>
      </c>
      <c r="N404">
        <v>0</v>
      </c>
      <c r="O404" s="9">
        <v>0</v>
      </c>
      <c r="P404" s="9">
        <f t="shared" si="42"/>
        <v>-77.3465518</v>
      </c>
      <c r="Q404" s="16">
        <f t="shared" si="38"/>
        <v>77.3465518</v>
      </c>
    </row>
    <row r="405" spans="1:17" x14ac:dyDescent="0.25">
      <c r="A405" s="3" t="s">
        <v>756</v>
      </c>
      <c r="B405" s="4" t="s">
        <v>757</v>
      </c>
      <c r="C405" s="12">
        <v>150</v>
      </c>
      <c r="D405" s="4" t="s">
        <v>111</v>
      </c>
      <c r="E405" s="4" t="s">
        <v>14</v>
      </c>
      <c r="F405" s="4" t="s">
        <v>33</v>
      </c>
      <c r="G405" s="4" t="s">
        <v>34</v>
      </c>
      <c r="H405" s="4" t="s">
        <v>112</v>
      </c>
      <c r="I405" s="4">
        <v>11.1393</v>
      </c>
      <c r="J405" s="4" t="s">
        <v>331</v>
      </c>
      <c r="K405" s="4" t="s">
        <v>18</v>
      </c>
      <c r="L405">
        <v>0</v>
      </c>
      <c r="M405" s="9">
        <f t="shared" si="41"/>
        <v>182.04900000000001</v>
      </c>
      <c r="N405">
        <v>0</v>
      </c>
      <c r="O405" s="9">
        <v>0</v>
      </c>
      <c r="P405" s="9">
        <f t="shared" si="42"/>
        <v>-182.04900000000001</v>
      </c>
      <c r="Q405" s="16">
        <f t="shared" si="38"/>
        <v>182.04900000000001</v>
      </c>
    </row>
    <row r="406" spans="1:17" x14ac:dyDescent="0.25">
      <c r="A406" s="3">
        <v>7353020</v>
      </c>
      <c r="B406" s="4" t="s">
        <v>758</v>
      </c>
      <c r="C406" s="12">
        <f>I406*3%+I406</f>
        <v>1.02176</v>
      </c>
      <c r="D406" s="4" t="s">
        <v>111</v>
      </c>
      <c r="E406" s="4" t="s">
        <v>14</v>
      </c>
      <c r="F406" s="4" t="s">
        <v>33</v>
      </c>
      <c r="G406" s="4" t="s">
        <v>34</v>
      </c>
      <c r="H406" s="4" t="s">
        <v>696</v>
      </c>
      <c r="I406" s="4">
        <v>0.99199999999999999</v>
      </c>
      <c r="J406" s="4" t="s">
        <v>331</v>
      </c>
      <c r="K406" s="4" t="s">
        <v>18</v>
      </c>
      <c r="L406">
        <v>0</v>
      </c>
      <c r="M406" s="9">
        <f t="shared" si="41"/>
        <v>1.2400692415999999</v>
      </c>
      <c r="N406">
        <v>0</v>
      </c>
      <c r="O406" s="9">
        <v>0</v>
      </c>
      <c r="P406" s="9">
        <f t="shared" si="42"/>
        <v>-1.2400692415999999</v>
      </c>
      <c r="Q406" s="16">
        <f t="shared" si="38"/>
        <v>1.2400692415999999</v>
      </c>
    </row>
    <row r="407" spans="1:17" x14ac:dyDescent="0.25">
      <c r="A407" s="3" t="s">
        <v>759</v>
      </c>
      <c r="B407" s="4" t="s">
        <v>760</v>
      </c>
      <c r="C407" s="12">
        <v>760</v>
      </c>
      <c r="D407" s="4" t="s">
        <v>191</v>
      </c>
      <c r="E407" s="4" t="s">
        <v>14</v>
      </c>
      <c r="F407" s="4" t="s">
        <v>33</v>
      </c>
      <c r="G407" s="4" t="s">
        <v>34</v>
      </c>
      <c r="H407" s="4" t="s">
        <v>250</v>
      </c>
      <c r="I407" s="4">
        <v>735</v>
      </c>
      <c r="J407" s="4" t="s">
        <v>191</v>
      </c>
      <c r="K407" s="4" t="s">
        <v>18</v>
      </c>
      <c r="L407" t="s">
        <v>759</v>
      </c>
      <c r="M407" s="9">
        <f t="shared" si="41"/>
        <v>922.38159999999993</v>
      </c>
      <c r="N407">
        <v>0</v>
      </c>
      <c r="O407" s="9">
        <v>0</v>
      </c>
      <c r="P407" s="9">
        <f t="shared" si="42"/>
        <v>-922.38159999999993</v>
      </c>
      <c r="Q407" s="16">
        <f t="shared" si="38"/>
        <v>922.38159999999993</v>
      </c>
    </row>
    <row r="408" spans="1:17" x14ac:dyDescent="0.25">
      <c r="A408" s="3" t="s">
        <v>761</v>
      </c>
      <c r="B408" s="4" t="s">
        <v>762</v>
      </c>
      <c r="C408" s="12">
        <v>432.6</v>
      </c>
      <c r="D408" s="4" t="s">
        <v>191</v>
      </c>
      <c r="E408" s="4" t="s">
        <v>14</v>
      </c>
      <c r="F408" s="4" t="s">
        <v>33</v>
      </c>
      <c r="G408" s="4" t="s">
        <v>34</v>
      </c>
      <c r="H408" s="4" t="s">
        <v>250</v>
      </c>
      <c r="I408" s="4"/>
      <c r="J408" s="4" t="s">
        <v>191</v>
      </c>
      <c r="K408" s="4" t="s">
        <v>18</v>
      </c>
      <c r="L408">
        <v>0</v>
      </c>
      <c r="M408" s="9">
        <f t="shared" si="41"/>
        <v>525.02931599999999</v>
      </c>
      <c r="N408">
        <v>0</v>
      </c>
      <c r="O408" s="9">
        <v>0</v>
      </c>
      <c r="P408" s="9">
        <f t="shared" si="42"/>
        <v>-525.02931599999999</v>
      </c>
      <c r="Q408" s="16">
        <f t="shared" si="38"/>
        <v>525.02931599999999</v>
      </c>
    </row>
    <row r="409" spans="1:17" x14ac:dyDescent="0.25">
      <c r="A409" s="3" t="s">
        <v>763</v>
      </c>
      <c r="B409" s="4" t="s">
        <v>764</v>
      </c>
      <c r="C409" s="12">
        <v>216.3</v>
      </c>
      <c r="D409" s="4" t="s">
        <v>191</v>
      </c>
      <c r="E409" s="4" t="s">
        <v>14</v>
      </c>
      <c r="F409" s="4" t="s">
        <v>33</v>
      </c>
      <c r="G409" s="4" t="s">
        <v>34</v>
      </c>
      <c r="H409" s="4" t="s">
        <v>250</v>
      </c>
      <c r="I409" s="4"/>
      <c r="J409" s="4" t="s">
        <v>191</v>
      </c>
      <c r="K409" s="4" t="s">
        <v>18</v>
      </c>
      <c r="L409">
        <v>0</v>
      </c>
      <c r="M409" s="9">
        <f t="shared" si="41"/>
        <v>262.514658</v>
      </c>
      <c r="N409">
        <v>0</v>
      </c>
      <c r="O409" s="9">
        <v>0</v>
      </c>
      <c r="P409" s="9">
        <f t="shared" si="42"/>
        <v>-262.514658</v>
      </c>
      <c r="Q409" s="16">
        <f t="shared" si="38"/>
        <v>262.514658</v>
      </c>
    </row>
    <row r="410" spans="1:17" x14ac:dyDescent="0.25">
      <c r="A410" s="3" t="s">
        <v>765</v>
      </c>
      <c r="B410" s="4" t="s">
        <v>766</v>
      </c>
      <c r="C410" s="12">
        <v>308.22000000000003</v>
      </c>
      <c r="D410" s="4" t="s">
        <v>191</v>
      </c>
      <c r="E410" s="4" t="s">
        <v>14</v>
      </c>
      <c r="F410" s="4" t="s">
        <v>33</v>
      </c>
      <c r="G410" s="4" t="s">
        <v>34</v>
      </c>
      <c r="H410" s="4" t="s">
        <v>250</v>
      </c>
      <c r="I410" s="4">
        <v>299.25</v>
      </c>
      <c r="J410" s="4" t="s">
        <v>191</v>
      </c>
      <c r="K410" s="4" t="s">
        <v>18</v>
      </c>
      <c r="L410" t="s">
        <v>765</v>
      </c>
      <c r="M410" s="9">
        <f t="shared" si="41"/>
        <v>374.07428520000002</v>
      </c>
      <c r="N410">
        <v>0</v>
      </c>
      <c r="O410" s="9">
        <v>0</v>
      </c>
      <c r="P410" s="9">
        <f t="shared" si="42"/>
        <v>-374.07428520000002</v>
      </c>
      <c r="Q410" s="16">
        <f t="shared" ref="Q410:Q473" si="44">C410*1.21366</f>
        <v>374.07428520000002</v>
      </c>
    </row>
    <row r="411" spans="1:17" x14ac:dyDescent="0.25">
      <c r="A411" s="3" t="s">
        <v>767</v>
      </c>
      <c r="B411" s="4" t="s">
        <v>768</v>
      </c>
      <c r="C411" s="12">
        <v>243.34</v>
      </c>
      <c r="D411" s="4" t="s">
        <v>191</v>
      </c>
      <c r="E411" s="4" t="s">
        <v>14</v>
      </c>
      <c r="F411" s="4" t="s">
        <v>33</v>
      </c>
      <c r="G411" s="4" t="s">
        <v>34</v>
      </c>
      <c r="H411" s="4" t="s">
        <v>250</v>
      </c>
      <c r="I411" s="4">
        <v>236.25</v>
      </c>
      <c r="J411" s="4" t="s">
        <v>191</v>
      </c>
      <c r="K411" s="4" t="s">
        <v>18</v>
      </c>
      <c r="L411" t="s">
        <v>767</v>
      </c>
      <c r="M411" s="9">
        <f t="shared" si="41"/>
        <v>295.33202440000002</v>
      </c>
      <c r="N411">
        <v>0</v>
      </c>
      <c r="O411" s="9">
        <v>0</v>
      </c>
      <c r="P411" s="9">
        <f t="shared" si="42"/>
        <v>-295.33202440000002</v>
      </c>
      <c r="Q411" s="16">
        <f t="shared" si="44"/>
        <v>295.33202440000002</v>
      </c>
    </row>
    <row r="412" spans="1:17" x14ac:dyDescent="0.25">
      <c r="A412" s="3" t="s">
        <v>769</v>
      </c>
      <c r="B412" s="4" t="s">
        <v>770</v>
      </c>
      <c r="C412" s="12">
        <v>32.450000000000003</v>
      </c>
      <c r="D412" s="4" t="s">
        <v>13</v>
      </c>
      <c r="E412" s="4" t="s">
        <v>14</v>
      </c>
      <c r="F412" s="4" t="s">
        <v>33</v>
      </c>
      <c r="G412" s="4" t="s">
        <v>34</v>
      </c>
      <c r="H412" s="4" t="s">
        <v>250</v>
      </c>
      <c r="I412" s="4">
        <v>31.5</v>
      </c>
      <c r="J412" s="4" t="s">
        <v>13</v>
      </c>
      <c r="K412" s="4" t="s">
        <v>18</v>
      </c>
      <c r="L412" t="s">
        <v>769</v>
      </c>
      <c r="M412" s="9">
        <f t="shared" si="41"/>
        <v>39.383267000000004</v>
      </c>
      <c r="N412">
        <v>0</v>
      </c>
      <c r="O412" s="9">
        <v>0</v>
      </c>
      <c r="P412" s="9">
        <f t="shared" si="42"/>
        <v>-39.383267000000004</v>
      </c>
      <c r="Q412" s="16">
        <f t="shared" si="44"/>
        <v>39.383267000000004</v>
      </c>
    </row>
    <row r="413" spans="1:17" x14ac:dyDescent="0.25">
      <c r="A413" s="3" t="s">
        <v>771</v>
      </c>
      <c r="B413" s="4" t="s">
        <v>772</v>
      </c>
      <c r="C413" s="12">
        <v>36</v>
      </c>
      <c r="D413" s="4" t="s">
        <v>13</v>
      </c>
      <c r="E413" s="4" t="s">
        <v>14</v>
      </c>
      <c r="F413" s="4" t="s">
        <v>33</v>
      </c>
      <c r="G413" s="4" t="s">
        <v>34</v>
      </c>
      <c r="H413" s="4" t="s">
        <v>250</v>
      </c>
      <c r="I413" s="4">
        <v>26.78</v>
      </c>
      <c r="J413" s="4" t="s">
        <v>13</v>
      </c>
      <c r="K413" s="4" t="s">
        <v>18</v>
      </c>
      <c r="L413" t="s">
        <v>771</v>
      </c>
      <c r="M413" s="9">
        <f t="shared" si="41"/>
        <v>43.691760000000002</v>
      </c>
      <c r="N413" t="s">
        <v>771</v>
      </c>
      <c r="O413" s="9">
        <v>33.475000000000001</v>
      </c>
      <c r="P413" s="9">
        <f t="shared" si="42"/>
        <v>-10.216760000000001</v>
      </c>
      <c r="Q413" s="16">
        <f t="shared" si="44"/>
        <v>43.691760000000002</v>
      </c>
    </row>
    <row r="414" spans="1:17" x14ac:dyDescent="0.25">
      <c r="A414" s="3" t="s">
        <v>773</v>
      </c>
      <c r="B414" s="4" t="s">
        <v>774</v>
      </c>
      <c r="C414" s="12">
        <v>151.41</v>
      </c>
      <c r="D414" s="4" t="s">
        <v>191</v>
      </c>
      <c r="E414" s="4" t="s">
        <v>14</v>
      </c>
      <c r="F414" s="4" t="s">
        <v>33</v>
      </c>
      <c r="G414" s="4" t="s">
        <v>34</v>
      </c>
      <c r="H414" s="4" t="s">
        <v>250</v>
      </c>
      <c r="I414" s="4">
        <v>147</v>
      </c>
      <c r="J414" s="4" t="s">
        <v>191</v>
      </c>
      <c r="K414" s="4" t="s">
        <v>18</v>
      </c>
      <c r="L414" t="s">
        <v>773</v>
      </c>
      <c r="M414" s="9">
        <f t="shared" si="41"/>
        <v>183.76026059999998</v>
      </c>
      <c r="N414" t="s">
        <v>773</v>
      </c>
      <c r="O414" s="9">
        <v>183.76230000000001</v>
      </c>
      <c r="P414" s="9">
        <f t="shared" si="42"/>
        <v>2.0394000000294454E-3</v>
      </c>
      <c r="Q414" s="16">
        <f t="shared" si="44"/>
        <v>183.76026059999998</v>
      </c>
    </row>
    <row r="415" spans="1:17" x14ac:dyDescent="0.25">
      <c r="A415" s="3" t="s">
        <v>775</v>
      </c>
      <c r="B415" s="4" t="s">
        <v>776</v>
      </c>
      <c r="C415" s="12">
        <v>40</v>
      </c>
      <c r="D415" s="4" t="s">
        <v>13</v>
      </c>
      <c r="E415" s="4" t="s">
        <v>14</v>
      </c>
      <c r="F415" s="4" t="s">
        <v>33</v>
      </c>
      <c r="G415" s="4" t="s">
        <v>34</v>
      </c>
      <c r="H415" s="4" t="s">
        <v>250</v>
      </c>
      <c r="I415" s="4">
        <v>26.46</v>
      </c>
      <c r="J415" s="4" t="s">
        <v>13</v>
      </c>
      <c r="K415" s="4" t="s">
        <v>18</v>
      </c>
      <c r="L415" t="s">
        <v>775</v>
      </c>
      <c r="M415" s="9">
        <f t="shared" si="41"/>
        <v>48.546399999999998</v>
      </c>
      <c r="N415" t="s">
        <v>775</v>
      </c>
      <c r="O415" s="9">
        <v>33.073300000000003</v>
      </c>
      <c r="P415" s="9">
        <f t="shared" si="42"/>
        <v>-15.473099999999995</v>
      </c>
      <c r="Q415" s="16">
        <f t="shared" si="44"/>
        <v>48.546399999999998</v>
      </c>
    </row>
    <row r="416" spans="1:17" x14ac:dyDescent="0.25">
      <c r="A416" s="3" t="s">
        <v>777</v>
      </c>
      <c r="B416" s="4" t="s">
        <v>778</v>
      </c>
      <c r="C416" s="12">
        <v>1000</v>
      </c>
      <c r="D416" s="4" t="s">
        <v>191</v>
      </c>
      <c r="E416" s="4" t="s">
        <v>14</v>
      </c>
      <c r="F416" s="4" t="s">
        <v>33</v>
      </c>
      <c r="G416" s="4" t="s">
        <v>34</v>
      </c>
      <c r="H416" s="4" t="s">
        <v>250</v>
      </c>
      <c r="I416" s="4">
        <v>1041.5999999999999</v>
      </c>
      <c r="J416" s="4" t="s">
        <v>191</v>
      </c>
      <c r="K416" s="4" t="s">
        <v>18</v>
      </c>
      <c r="L416" t="s">
        <v>777</v>
      </c>
      <c r="M416" s="9">
        <f t="shared" si="41"/>
        <v>1213.6599999999999</v>
      </c>
      <c r="N416" t="s">
        <v>777</v>
      </c>
      <c r="O416" s="9">
        <v>1302.0744999999999</v>
      </c>
      <c r="P416" s="9">
        <f t="shared" si="42"/>
        <v>88.414500000000089</v>
      </c>
      <c r="Q416" s="16">
        <f t="shared" si="44"/>
        <v>1213.6599999999999</v>
      </c>
    </row>
    <row r="417" spans="1:17" x14ac:dyDescent="0.25">
      <c r="A417" s="3" t="s">
        <v>779</v>
      </c>
      <c r="B417" s="4" t="s">
        <v>780</v>
      </c>
      <c r="C417" s="12">
        <v>31.9</v>
      </c>
      <c r="D417" s="4" t="s">
        <v>13</v>
      </c>
      <c r="E417" s="4" t="s">
        <v>14</v>
      </c>
      <c r="F417" s="4" t="s">
        <v>33</v>
      </c>
      <c r="G417" s="4" t="s">
        <v>34</v>
      </c>
      <c r="H417" s="4" t="s">
        <v>250</v>
      </c>
      <c r="I417" s="4">
        <v>30.98</v>
      </c>
      <c r="J417" s="4" t="s">
        <v>13</v>
      </c>
      <c r="K417" s="4" t="s">
        <v>18</v>
      </c>
      <c r="L417" t="s">
        <v>779</v>
      </c>
      <c r="M417" s="9">
        <f t="shared" si="41"/>
        <v>38.715753999999997</v>
      </c>
      <c r="N417">
        <v>0</v>
      </c>
      <c r="O417" s="9">
        <v>0</v>
      </c>
      <c r="P417" s="9">
        <f t="shared" si="42"/>
        <v>-38.715753999999997</v>
      </c>
      <c r="Q417" s="16">
        <f t="shared" si="44"/>
        <v>38.715753999999997</v>
      </c>
    </row>
    <row r="418" spans="1:17" x14ac:dyDescent="0.25">
      <c r="A418" s="3" t="s">
        <v>781</v>
      </c>
      <c r="B418" s="4" t="s">
        <v>782</v>
      </c>
      <c r="C418" s="12">
        <v>237.93</v>
      </c>
      <c r="D418" s="4" t="s">
        <v>13</v>
      </c>
      <c r="E418" s="4" t="s">
        <v>14</v>
      </c>
      <c r="F418" s="4" t="s">
        <v>33</v>
      </c>
      <c r="G418" s="4" t="s">
        <v>34</v>
      </c>
      <c r="H418" s="4" t="s">
        <v>115</v>
      </c>
      <c r="I418" s="4">
        <v>231</v>
      </c>
      <c r="J418" s="4" t="s">
        <v>13</v>
      </c>
      <c r="K418" s="4" t="s">
        <v>18</v>
      </c>
      <c r="L418" t="s">
        <v>781</v>
      </c>
      <c r="M418" s="9">
        <f t="shared" si="41"/>
        <v>288.7661238</v>
      </c>
      <c r="N418">
        <v>0</v>
      </c>
      <c r="O418" s="9">
        <v>0</v>
      </c>
      <c r="P418" s="9">
        <f t="shared" si="42"/>
        <v>-288.7661238</v>
      </c>
      <c r="Q418" s="16">
        <f t="shared" si="44"/>
        <v>288.7661238</v>
      </c>
    </row>
    <row r="419" spans="1:17" x14ac:dyDescent="0.25">
      <c r="A419" s="3" t="s">
        <v>783</v>
      </c>
      <c r="B419" s="4" t="s">
        <v>784</v>
      </c>
      <c r="C419" s="12">
        <f>I419*3%+I419</f>
        <v>22.804200000000002</v>
      </c>
      <c r="D419" s="4" t="s">
        <v>124</v>
      </c>
      <c r="E419" s="4" t="s">
        <v>14</v>
      </c>
      <c r="F419" s="4" t="s">
        <v>44</v>
      </c>
      <c r="G419" s="4" t="s">
        <v>45</v>
      </c>
      <c r="H419" s="4" t="s">
        <v>347</v>
      </c>
      <c r="I419" s="4">
        <v>22.14</v>
      </c>
      <c r="J419" s="4" t="s">
        <v>124</v>
      </c>
      <c r="K419" s="4" t="s">
        <v>18</v>
      </c>
      <c r="L419" t="s">
        <v>783</v>
      </c>
      <c r="M419" s="9">
        <f t="shared" si="41"/>
        <v>27.676545372</v>
      </c>
      <c r="N419">
        <v>0</v>
      </c>
      <c r="O419" s="9">
        <v>0</v>
      </c>
      <c r="P419" s="9">
        <f t="shared" si="42"/>
        <v>-27.676545372</v>
      </c>
      <c r="Q419" s="16">
        <f t="shared" si="44"/>
        <v>27.676545372</v>
      </c>
    </row>
    <row r="420" spans="1:17" x14ac:dyDescent="0.25">
      <c r="A420" s="3" t="s">
        <v>785</v>
      </c>
      <c r="B420" s="4" t="s">
        <v>786</v>
      </c>
      <c r="C420" s="12">
        <f t="shared" ref="C420:C424" si="45">I420*3%+I420</f>
        <v>185.56479999999999</v>
      </c>
      <c r="D420" s="4" t="s">
        <v>504</v>
      </c>
      <c r="E420" s="4" t="s">
        <v>14</v>
      </c>
      <c r="F420" s="4" t="s">
        <v>119</v>
      </c>
      <c r="G420" s="4" t="s">
        <v>120</v>
      </c>
      <c r="H420" s="4" t="s">
        <v>121</v>
      </c>
      <c r="I420" s="4">
        <v>180.16</v>
      </c>
      <c r="J420" s="4" t="s">
        <v>504</v>
      </c>
      <c r="K420" s="4" t="s">
        <v>18</v>
      </c>
      <c r="L420" t="s">
        <v>785</v>
      </c>
      <c r="M420" s="9">
        <f t="shared" si="41"/>
        <v>225.21257516799997</v>
      </c>
      <c r="N420">
        <v>0</v>
      </c>
      <c r="O420" s="9">
        <v>0</v>
      </c>
      <c r="P420" s="9">
        <f t="shared" si="42"/>
        <v>-225.21257516799997</v>
      </c>
      <c r="Q420" s="16">
        <f t="shared" si="44"/>
        <v>225.21257516799997</v>
      </c>
    </row>
    <row r="421" spans="1:17" x14ac:dyDescent="0.25">
      <c r="A421" s="3" t="s">
        <v>787</v>
      </c>
      <c r="B421" s="4" t="s">
        <v>788</v>
      </c>
      <c r="C421" s="12">
        <f t="shared" si="45"/>
        <v>69.040900000000008</v>
      </c>
      <c r="D421" s="4" t="s">
        <v>118</v>
      </c>
      <c r="E421" s="4" t="s">
        <v>14</v>
      </c>
      <c r="F421" s="4" t="s">
        <v>119</v>
      </c>
      <c r="G421" s="4" t="s">
        <v>120</v>
      </c>
      <c r="H421" s="4" t="s">
        <v>121</v>
      </c>
      <c r="I421" s="4">
        <v>67.03</v>
      </c>
      <c r="J421" s="4" t="s">
        <v>118</v>
      </c>
      <c r="K421" s="4" t="s">
        <v>18</v>
      </c>
      <c r="L421" t="s">
        <v>787</v>
      </c>
      <c r="M421" s="9">
        <f t="shared" si="41"/>
        <v>83.792178694</v>
      </c>
      <c r="N421">
        <v>0</v>
      </c>
      <c r="O421" s="9">
        <v>0</v>
      </c>
      <c r="P421" s="9">
        <f t="shared" si="42"/>
        <v>-83.792178694</v>
      </c>
      <c r="Q421" s="16">
        <f t="shared" si="44"/>
        <v>83.792178694</v>
      </c>
    </row>
    <row r="422" spans="1:17" x14ac:dyDescent="0.25">
      <c r="A422" s="3" t="s">
        <v>789</v>
      </c>
      <c r="B422" s="4" t="s">
        <v>790</v>
      </c>
      <c r="C422" s="12">
        <f t="shared" si="45"/>
        <v>66.177499999999995</v>
      </c>
      <c r="D422" s="4" t="s">
        <v>118</v>
      </c>
      <c r="E422" s="4" t="s">
        <v>14</v>
      </c>
      <c r="F422" s="4" t="s">
        <v>119</v>
      </c>
      <c r="G422" s="4" t="s">
        <v>120</v>
      </c>
      <c r="H422" s="4" t="s">
        <v>121</v>
      </c>
      <c r="I422" s="4">
        <v>64.25</v>
      </c>
      <c r="J422" s="4" t="s">
        <v>118</v>
      </c>
      <c r="K422" s="4" t="s">
        <v>18</v>
      </c>
      <c r="L422" t="s">
        <v>789</v>
      </c>
      <c r="M422" s="9">
        <f t="shared" si="41"/>
        <v>80.316984649999995</v>
      </c>
      <c r="N422" t="s">
        <v>789</v>
      </c>
      <c r="O422" s="9">
        <v>23.854800000000001</v>
      </c>
      <c r="P422" s="9">
        <f t="shared" si="42"/>
        <v>-56.462184649999998</v>
      </c>
      <c r="Q422" s="16">
        <f t="shared" si="44"/>
        <v>80.316984649999995</v>
      </c>
    </row>
    <row r="423" spans="1:17" x14ac:dyDescent="0.25">
      <c r="A423" s="3" t="s">
        <v>791</v>
      </c>
      <c r="B423" s="4" t="s">
        <v>792</v>
      </c>
      <c r="C423" s="12">
        <f t="shared" si="45"/>
        <v>27.583400000000001</v>
      </c>
      <c r="D423" s="4" t="s">
        <v>32</v>
      </c>
      <c r="E423" s="4" t="s">
        <v>14</v>
      </c>
      <c r="F423" s="4" t="s">
        <v>33</v>
      </c>
      <c r="G423" s="4" t="s">
        <v>34</v>
      </c>
      <c r="H423" s="4" t="s">
        <v>265</v>
      </c>
      <c r="I423" s="4">
        <v>26.78</v>
      </c>
      <c r="J423" s="4" t="s">
        <v>32</v>
      </c>
      <c r="K423" s="4" t="s">
        <v>18</v>
      </c>
      <c r="L423" t="s">
        <v>791</v>
      </c>
      <c r="M423" s="9">
        <f t="shared" si="41"/>
        <v>33.476869244</v>
      </c>
      <c r="N423" t="s">
        <v>791</v>
      </c>
      <c r="O423" s="9">
        <v>33.475000000000001</v>
      </c>
      <c r="P423" s="9">
        <f t="shared" si="42"/>
        <v>-1.8692439999981048E-3</v>
      </c>
      <c r="Q423" s="16">
        <f t="shared" si="44"/>
        <v>33.476869244</v>
      </c>
    </row>
    <row r="424" spans="1:17" x14ac:dyDescent="0.25">
      <c r="A424" s="3" t="s">
        <v>793</v>
      </c>
      <c r="B424" s="4" t="s">
        <v>794</v>
      </c>
      <c r="C424" s="12">
        <f t="shared" si="45"/>
        <v>10.763499999999999</v>
      </c>
      <c r="D424" s="4" t="s">
        <v>32</v>
      </c>
      <c r="E424" s="4" t="s">
        <v>14</v>
      </c>
      <c r="F424" s="4" t="s">
        <v>33</v>
      </c>
      <c r="G424" s="4" t="s">
        <v>34</v>
      </c>
      <c r="H424" s="4" t="s">
        <v>265</v>
      </c>
      <c r="I424" s="4">
        <v>10.45</v>
      </c>
      <c r="J424" s="4" t="s">
        <v>32</v>
      </c>
      <c r="K424" s="4" t="s">
        <v>18</v>
      </c>
      <c r="L424" t="s">
        <v>793</v>
      </c>
      <c r="M424" s="9">
        <f t="shared" si="41"/>
        <v>13.063229409999998</v>
      </c>
      <c r="N424" t="s">
        <v>793</v>
      </c>
      <c r="O424" s="9">
        <v>13.0604</v>
      </c>
      <c r="P424" s="9">
        <f t="shared" si="42"/>
        <v>-2.8294099999985889E-3</v>
      </c>
      <c r="Q424" s="16">
        <f t="shared" si="44"/>
        <v>13.063229409999998</v>
      </c>
    </row>
    <row r="425" spans="1:17" x14ac:dyDescent="0.25">
      <c r="A425" s="3">
        <v>2447420</v>
      </c>
      <c r="B425" s="4" t="s">
        <v>795</v>
      </c>
      <c r="C425" s="12">
        <v>378.53</v>
      </c>
      <c r="D425" s="4" t="s">
        <v>118</v>
      </c>
      <c r="E425" s="4" t="s">
        <v>14</v>
      </c>
      <c r="F425" s="4" t="s">
        <v>33</v>
      </c>
      <c r="G425" s="4" t="s">
        <v>34</v>
      </c>
      <c r="H425" s="4" t="s">
        <v>330</v>
      </c>
      <c r="I425" s="4">
        <v>18.375</v>
      </c>
      <c r="J425" s="4" t="s">
        <v>331</v>
      </c>
      <c r="K425" s="4" t="s">
        <v>18</v>
      </c>
      <c r="L425">
        <v>0</v>
      </c>
      <c r="M425" s="9">
        <f t="shared" si="41"/>
        <v>459.40671979999996</v>
      </c>
      <c r="N425">
        <v>0</v>
      </c>
      <c r="O425" s="9">
        <v>0</v>
      </c>
      <c r="P425" s="9">
        <f t="shared" si="42"/>
        <v>-459.40671979999996</v>
      </c>
      <c r="Q425" s="16">
        <f t="shared" si="44"/>
        <v>459.40671979999996</v>
      </c>
    </row>
    <row r="426" spans="1:17" x14ac:dyDescent="0.25">
      <c r="A426" s="3">
        <v>2444932</v>
      </c>
      <c r="B426" s="4" t="s">
        <v>796</v>
      </c>
      <c r="C426" s="12">
        <v>290.04000000000002</v>
      </c>
      <c r="D426" s="4" t="s">
        <v>334</v>
      </c>
      <c r="E426" s="4" t="s">
        <v>14</v>
      </c>
      <c r="F426" s="4" t="s">
        <v>33</v>
      </c>
      <c r="G426" s="4" t="s">
        <v>34</v>
      </c>
      <c r="H426" s="4" t="s">
        <v>330</v>
      </c>
      <c r="I426" s="4">
        <v>23.4634</v>
      </c>
      <c r="J426" s="4" t="s">
        <v>334</v>
      </c>
      <c r="K426" s="4" t="s">
        <v>18</v>
      </c>
      <c r="L426">
        <v>0</v>
      </c>
      <c r="M426" s="9">
        <f t="shared" si="41"/>
        <v>352.00994639999999</v>
      </c>
      <c r="N426">
        <v>0</v>
      </c>
      <c r="O426" s="9">
        <v>0</v>
      </c>
      <c r="P426" s="9">
        <f t="shared" si="42"/>
        <v>-352.00994639999999</v>
      </c>
      <c r="Q426" s="16">
        <f t="shared" si="44"/>
        <v>352.00994639999999</v>
      </c>
    </row>
    <row r="427" spans="1:17" x14ac:dyDescent="0.25">
      <c r="A427" s="3">
        <v>2446732</v>
      </c>
      <c r="B427" s="4" t="s">
        <v>797</v>
      </c>
      <c r="C427" s="12">
        <v>20</v>
      </c>
      <c r="D427" s="4" t="s">
        <v>334</v>
      </c>
      <c r="E427" s="4" t="s">
        <v>14</v>
      </c>
      <c r="F427" s="4" t="s">
        <v>33</v>
      </c>
      <c r="G427" s="4" t="s">
        <v>34</v>
      </c>
      <c r="H427" s="4" t="s">
        <v>330</v>
      </c>
      <c r="I427" s="4">
        <v>21</v>
      </c>
      <c r="J427" s="4" t="s">
        <v>334</v>
      </c>
      <c r="K427" s="4" t="s">
        <v>18</v>
      </c>
      <c r="L427">
        <v>0</v>
      </c>
      <c r="M427" s="9">
        <f t="shared" si="41"/>
        <v>24.273199999999999</v>
      </c>
      <c r="N427">
        <v>0</v>
      </c>
      <c r="O427" s="9">
        <v>0</v>
      </c>
      <c r="P427" s="9">
        <f t="shared" si="42"/>
        <v>-24.273199999999999</v>
      </c>
      <c r="Q427" s="16">
        <f t="shared" si="44"/>
        <v>24.273199999999999</v>
      </c>
    </row>
    <row r="428" spans="1:17" x14ac:dyDescent="0.25">
      <c r="A428" s="3">
        <v>2446620</v>
      </c>
      <c r="B428" s="4" t="s">
        <v>798</v>
      </c>
      <c r="C428" s="12">
        <v>210</v>
      </c>
      <c r="D428" s="4" t="s">
        <v>118</v>
      </c>
      <c r="E428" s="4" t="s">
        <v>14</v>
      </c>
      <c r="F428" s="4" t="s">
        <v>33</v>
      </c>
      <c r="G428" s="4" t="s">
        <v>34</v>
      </c>
      <c r="H428" s="4" t="s">
        <v>330</v>
      </c>
      <c r="I428" s="4">
        <v>13.125</v>
      </c>
      <c r="J428" s="4" t="s">
        <v>331</v>
      </c>
      <c r="K428" s="4" t="s">
        <v>18</v>
      </c>
      <c r="L428">
        <v>0</v>
      </c>
      <c r="M428" s="9">
        <f t="shared" si="41"/>
        <v>254.86859999999999</v>
      </c>
      <c r="N428">
        <v>0</v>
      </c>
      <c r="O428" s="9">
        <v>0</v>
      </c>
      <c r="P428" s="9">
        <f t="shared" si="42"/>
        <v>-254.86859999999999</v>
      </c>
      <c r="Q428" s="16">
        <f t="shared" si="44"/>
        <v>254.86859999999999</v>
      </c>
    </row>
    <row r="429" spans="1:17" x14ac:dyDescent="0.25">
      <c r="A429" s="3">
        <v>2446605</v>
      </c>
      <c r="B429" s="4" t="s">
        <v>799</v>
      </c>
      <c r="C429" s="12">
        <v>60</v>
      </c>
      <c r="D429" s="4" t="s">
        <v>118</v>
      </c>
      <c r="E429" s="4" t="s">
        <v>14</v>
      </c>
      <c r="F429" s="4" t="s">
        <v>33</v>
      </c>
      <c r="G429" s="4" t="s">
        <v>34</v>
      </c>
      <c r="H429" s="4" t="s">
        <v>330</v>
      </c>
      <c r="I429" s="4">
        <v>71.400000000000006</v>
      </c>
      <c r="J429" s="4" t="s">
        <v>118</v>
      </c>
      <c r="K429" s="4" t="s">
        <v>18</v>
      </c>
      <c r="L429">
        <v>0</v>
      </c>
      <c r="M429" s="9">
        <f t="shared" si="41"/>
        <v>72.819599999999994</v>
      </c>
      <c r="N429">
        <v>0</v>
      </c>
      <c r="O429" s="9">
        <v>0</v>
      </c>
      <c r="P429" s="9">
        <f t="shared" si="42"/>
        <v>-72.819599999999994</v>
      </c>
      <c r="Q429" s="16">
        <f t="shared" si="44"/>
        <v>72.819599999999994</v>
      </c>
    </row>
    <row r="430" spans="1:17" x14ac:dyDescent="0.25">
      <c r="A430" s="3">
        <v>244620</v>
      </c>
      <c r="B430" s="4" t="s">
        <v>800</v>
      </c>
      <c r="C430" s="12">
        <v>270.38</v>
      </c>
      <c r="D430" s="4" t="s">
        <v>118</v>
      </c>
      <c r="E430" s="4" t="s">
        <v>14</v>
      </c>
      <c r="F430" s="4" t="s">
        <v>33</v>
      </c>
      <c r="G430" s="4" t="s">
        <v>34</v>
      </c>
      <c r="H430" s="4" t="s">
        <v>330</v>
      </c>
      <c r="I430" s="4">
        <v>13.125</v>
      </c>
      <c r="J430" s="4" t="s">
        <v>331</v>
      </c>
      <c r="K430" s="4" t="s">
        <v>18</v>
      </c>
      <c r="L430">
        <v>0</v>
      </c>
      <c r="M430" s="9">
        <f t="shared" si="41"/>
        <v>328.14939079999999</v>
      </c>
      <c r="N430">
        <v>0</v>
      </c>
      <c r="O430" s="9">
        <v>0</v>
      </c>
      <c r="P430" s="9">
        <f t="shared" si="42"/>
        <v>-328.14939079999999</v>
      </c>
      <c r="Q430" s="16">
        <f t="shared" si="44"/>
        <v>328.14939079999999</v>
      </c>
    </row>
    <row r="431" spans="1:17" x14ac:dyDescent="0.25">
      <c r="A431" s="3" t="s">
        <v>801</v>
      </c>
      <c r="B431" s="4" t="s">
        <v>802</v>
      </c>
      <c r="C431" s="12">
        <f>I431*3%+I431</f>
        <v>1.0815000000000001</v>
      </c>
      <c r="D431" s="4" t="s">
        <v>13</v>
      </c>
      <c r="E431" s="4" t="s">
        <v>14</v>
      </c>
      <c r="F431" s="4" t="s">
        <v>15</v>
      </c>
      <c r="G431" s="4" t="s">
        <v>16</v>
      </c>
      <c r="H431" s="4" t="s">
        <v>17</v>
      </c>
      <c r="I431" s="4">
        <v>1.05</v>
      </c>
      <c r="J431" s="4" t="s">
        <v>13</v>
      </c>
      <c r="K431" s="4" t="s">
        <v>18</v>
      </c>
      <c r="L431" t="s">
        <v>801</v>
      </c>
      <c r="M431" s="9">
        <f t="shared" si="41"/>
        <v>1.31257329</v>
      </c>
      <c r="N431">
        <v>0</v>
      </c>
      <c r="O431" s="9">
        <v>0</v>
      </c>
      <c r="P431" s="9">
        <f t="shared" si="42"/>
        <v>-1.31257329</v>
      </c>
      <c r="Q431" s="16">
        <f t="shared" si="44"/>
        <v>1.31257329</v>
      </c>
    </row>
    <row r="432" spans="1:17" x14ac:dyDescent="0.25">
      <c r="A432" s="3" t="s">
        <v>803</v>
      </c>
      <c r="B432" s="4" t="s">
        <v>804</v>
      </c>
      <c r="C432" s="12">
        <f t="shared" ref="C432:C434" si="46">I432*3%+I432</f>
        <v>66.218700000000013</v>
      </c>
      <c r="D432" s="4" t="s">
        <v>13</v>
      </c>
      <c r="E432" s="4" t="s">
        <v>14</v>
      </c>
      <c r="F432" s="4" t="s">
        <v>15</v>
      </c>
      <c r="G432" s="4" t="s">
        <v>16</v>
      </c>
      <c r="H432" s="4" t="s">
        <v>17</v>
      </c>
      <c r="I432" s="4">
        <v>64.290000000000006</v>
      </c>
      <c r="J432" s="4" t="s">
        <v>13</v>
      </c>
      <c r="K432" s="4" t="s">
        <v>18</v>
      </c>
      <c r="L432" t="s">
        <v>803</v>
      </c>
      <c r="M432" s="9">
        <f t="shared" si="41"/>
        <v>80.36698744200001</v>
      </c>
      <c r="N432">
        <v>0</v>
      </c>
      <c r="O432" s="9">
        <v>0</v>
      </c>
      <c r="P432" s="9">
        <f t="shared" si="42"/>
        <v>-80.36698744200001</v>
      </c>
      <c r="Q432" s="16">
        <f t="shared" si="44"/>
        <v>80.36698744200001</v>
      </c>
    </row>
    <row r="433" spans="1:17" x14ac:dyDescent="0.25">
      <c r="A433" s="3" t="s">
        <v>805</v>
      </c>
      <c r="B433" s="4" t="s">
        <v>806</v>
      </c>
      <c r="C433" s="12">
        <f t="shared" si="46"/>
        <v>77.878299999999996</v>
      </c>
      <c r="D433" s="4" t="s">
        <v>13</v>
      </c>
      <c r="E433" s="4" t="s">
        <v>14</v>
      </c>
      <c r="F433" s="4" t="s">
        <v>15</v>
      </c>
      <c r="G433" s="4" t="s">
        <v>16</v>
      </c>
      <c r="H433" s="4" t="s">
        <v>17</v>
      </c>
      <c r="I433" s="4">
        <v>75.61</v>
      </c>
      <c r="J433" s="4" t="s">
        <v>13</v>
      </c>
      <c r="K433" s="4" t="s">
        <v>18</v>
      </c>
      <c r="L433" t="s">
        <v>805</v>
      </c>
      <c r="M433" s="9">
        <f t="shared" si="41"/>
        <v>94.517777577999993</v>
      </c>
      <c r="N433">
        <v>0</v>
      </c>
      <c r="O433" s="9">
        <v>0</v>
      </c>
      <c r="P433" s="9">
        <f t="shared" si="42"/>
        <v>-94.517777577999993</v>
      </c>
      <c r="Q433" s="16">
        <f t="shared" si="44"/>
        <v>94.517777577999993</v>
      </c>
    </row>
    <row r="434" spans="1:17" x14ac:dyDescent="0.25">
      <c r="A434" s="3" t="s">
        <v>807</v>
      </c>
      <c r="B434" s="4" t="s">
        <v>808</v>
      </c>
      <c r="C434" s="12">
        <f t="shared" si="46"/>
        <v>1.0815000000000001</v>
      </c>
      <c r="D434" s="4" t="s">
        <v>13</v>
      </c>
      <c r="E434" s="4" t="s">
        <v>14</v>
      </c>
      <c r="F434" s="4" t="s">
        <v>15</v>
      </c>
      <c r="G434" s="4" t="s">
        <v>16</v>
      </c>
      <c r="H434" s="4" t="s">
        <v>17</v>
      </c>
      <c r="I434" s="4">
        <v>1.05</v>
      </c>
      <c r="J434" s="4" t="s">
        <v>13</v>
      </c>
      <c r="K434" s="4" t="s">
        <v>18</v>
      </c>
      <c r="L434" t="s">
        <v>807</v>
      </c>
      <c r="M434" s="9">
        <f t="shared" si="41"/>
        <v>1.31257329</v>
      </c>
      <c r="N434">
        <v>0</v>
      </c>
      <c r="O434" s="9">
        <v>0</v>
      </c>
      <c r="P434" s="9">
        <f t="shared" si="42"/>
        <v>-1.31257329</v>
      </c>
      <c r="Q434" s="16">
        <f t="shared" si="44"/>
        <v>1.31257329</v>
      </c>
    </row>
    <row r="435" spans="1:17" x14ac:dyDescent="0.25">
      <c r="A435" s="3" t="s">
        <v>809</v>
      </c>
      <c r="B435" s="4" t="s">
        <v>810</v>
      </c>
      <c r="C435" s="12">
        <v>59.48</v>
      </c>
      <c r="D435" s="4" t="s">
        <v>13</v>
      </c>
      <c r="E435" s="4" t="s">
        <v>14</v>
      </c>
      <c r="F435" s="4" t="s">
        <v>33</v>
      </c>
      <c r="G435" s="4" t="s">
        <v>34</v>
      </c>
      <c r="H435" s="4" t="s">
        <v>115</v>
      </c>
      <c r="I435" s="4">
        <v>57.75</v>
      </c>
      <c r="J435" s="4" t="s">
        <v>13</v>
      </c>
      <c r="K435" s="4" t="s">
        <v>18</v>
      </c>
      <c r="L435" t="s">
        <v>809</v>
      </c>
      <c r="M435" s="9">
        <f t="shared" si="41"/>
        <v>72.188496799999996</v>
      </c>
      <c r="N435">
        <v>0</v>
      </c>
      <c r="O435" s="9">
        <v>0</v>
      </c>
      <c r="P435" s="9">
        <f t="shared" si="42"/>
        <v>-72.188496799999996</v>
      </c>
      <c r="Q435" s="16">
        <f t="shared" si="44"/>
        <v>72.188496799999996</v>
      </c>
    </row>
    <row r="436" spans="1:17" x14ac:dyDescent="0.25">
      <c r="A436" s="3" t="s">
        <v>811</v>
      </c>
      <c r="B436" s="4" t="s">
        <v>812</v>
      </c>
      <c r="C436" s="12">
        <v>55</v>
      </c>
      <c r="D436" s="4" t="s">
        <v>13</v>
      </c>
      <c r="E436" s="4" t="s">
        <v>14</v>
      </c>
      <c r="F436" s="4" t="s">
        <v>33</v>
      </c>
      <c r="G436" s="4" t="s">
        <v>34</v>
      </c>
      <c r="H436" s="4" t="s">
        <v>115</v>
      </c>
      <c r="I436" s="4">
        <v>53.4</v>
      </c>
      <c r="J436" s="4" t="s">
        <v>13</v>
      </c>
      <c r="K436" s="4" t="s">
        <v>18</v>
      </c>
      <c r="L436" t="s">
        <v>811</v>
      </c>
      <c r="M436" s="9">
        <f t="shared" si="41"/>
        <v>66.751300000000001</v>
      </c>
      <c r="N436">
        <v>0</v>
      </c>
      <c r="O436" s="9">
        <v>0</v>
      </c>
      <c r="P436" s="9">
        <f t="shared" si="42"/>
        <v>-66.751300000000001</v>
      </c>
      <c r="Q436" s="16">
        <f t="shared" si="44"/>
        <v>66.751300000000001</v>
      </c>
    </row>
    <row r="437" spans="1:17" x14ac:dyDescent="0.25">
      <c r="A437" s="3" t="s">
        <v>813</v>
      </c>
      <c r="B437" s="4" t="s">
        <v>814</v>
      </c>
      <c r="C437" s="12">
        <v>59.48</v>
      </c>
      <c r="D437" s="4" t="s">
        <v>13</v>
      </c>
      <c r="E437" s="4" t="s">
        <v>14</v>
      </c>
      <c r="F437" s="4" t="s">
        <v>33</v>
      </c>
      <c r="G437" s="4" t="s">
        <v>34</v>
      </c>
      <c r="H437" s="4" t="s">
        <v>115</v>
      </c>
      <c r="I437" s="4">
        <v>57.75</v>
      </c>
      <c r="J437" s="4" t="s">
        <v>13</v>
      </c>
      <c r="K437" s="4" t="s">
        <v>18</v>
      </c>
      <c r="L437" t="s">
        <v>813</v>
      </c>
      <c r="M437" s="9">
        <f t="shared" si="41"/>
        <v>72.188496799999996</v>
      </c>
      <c r="N437">
        <v>0</v>
      </c>
      <c r="O437" s="9">
        <v>0</v>
      </c>
      <c r="P437" s="9">
        <f t="shared" si="42"/>
        <v>-72.188496799999996</v>
      </c>
      <c r="Q437" s="16">
        <f t="shared" si="44"/>
        <v>72.188496799999996</v>
      </c>
    </row>
    <row r="438" spans="1:17" x14ac:dyDescent="0.25">
      <c r="A438" s="3" t="s">
        <v>815</v>
      </c>
      <c r="B438" s="4" t="s">
        <v>816</v>
      </c>
      <c r="C438" s="12">
        <f>I438*3%+I438</f>
        <v>1.5449999999999999</v>
      </c>
      <c r="D438" s="4" t="s">
        <v>13</v>
      </c>
      <c r="E438" s="4" t="s">
        <v>23</v>
      </c>
      <c r="F438" s="4" t="s">
        <v>49</v>
      </c>
      <c r="G438" s="4" t="s">
        <v>50</v>
      </c>
      <c r="H438" s="4" t="s">
        <v>50</v>
      </c>
      <c r="I438" s="4">
        <v>1.5</v>
      </c>
      <c r="J438" s="4" t="s">
        <v>13</v>
      </c>
      <c r="K438" s="4" t="s">
        <v>18</v>
      </c>
      <c r="L438" t="s">
        <v>815</v>
      </c>
      <c r="M438" s="9">
        <f t="shared" si="41"/>
        <v>1.8751046999999998</v>
      </c>
      <c r="N438" t="s">
        <v>815</v>
      </c>
      <c r="O438" s="9">
        <v>1.9879</v>
      </c>
      <c r="P438" s="9">
        <f t="shared" si="42"/>
        <v>0.11279530000000015</v>
      </c>
      <c r="Q438" s="16">
        <f t="shared" si="44"/>
        <v>1.8751046999999998</v>
      </c>
    </row>
    <row r="439" spans="1:17" x14ac:dyDescent="0.25">
      <c r="A439" s="3" t="s">
        <v>817</v>
      </c>
      <c r="B439" s="4" t="s">
        <v>818</v>
      </c>
      <c r="C439" s="12">
        <f t="shared" ref="C439:C445" si="47">I439*3%+I439</f>
        <v>152.131</v>
      </c>
      <c r="D439" s="4" t="s">
        <v>118</v>
      </c>
      <c r="E439" s="4" t="s">
        <v>14</v>
      </c>
      <c r="F439" s="4" t="s">
        <v>119</v>
      </c>
      <c r="G439" s="4" t="s">
        <v>120</v>
      </c>
      <c r="H439" s="4" t="s">
        <v>819</v>
      </c>
      <c r="I439" s="4">
        <v>147.69999999999999</v>
      </c>
      <c r="J439" s="4" t="s">
        <v>118</v>
      </c>
      <c r="K439" s="4" t="s">
        <v>18</v>
      </c>
      <c r="L439" t="s">
        <v>817</v>
      </c>
      <c r="M439" s="9">
        <f t="shared" si="41"/>
        <v>184.63530946</v>
      </c>
      <c r="N439" t="s">
        <v>817</v>
      </c>
      <c r="O439" s="9">
        <v>184.6378</v>
      </c>
      <c r="P439" s="9">
        <f t="shared" si="42"/>
        <v>2.4905399999965994E-3</v>
      </c>
      <c r="Q439" s="16">
        <f t="shared" si="44"/>
        <v>184.63530946</v>
      </c>
    </row>
    <row r="440" spans="1:17" x14ac:dyDescent="0.25">
      <c r="A440" s="3" t="s">
        <v>820</v>
      </c>
      <c r="B440" s="4" t="s">
        <v>821</v>
      </c>
      <c r="C440" s="12">
        <f t="shared" si="47"/>
        <v>42.106400000000001</v>
      </c>
      <c r="D440" s="4" t="s">
        <v>118</v>
      </c>
      <c r="E440" s="4" t="s">
        <v>14</v>
      </c>
      <c r="F440" s="4" t="s">
        <v>119</v>
      </c>
      <c r="G440" s="4" t="s">
        <v>120</v>
      </c>
      <c r="H440" s="4" t="s">
        <v>819</v>
      </c>
      <c r="I440" s="4">
        <v>40.880000000000003</v>
      </c>
      <c r="J440" s="4" t="s">
        <v>118</v>
      </c>
      <c r="K440" s="4" t="s">
        <v>18</v>
      </c>
      <c r="L440" t="s">
        <v>820</v>
      </c>
      <c r="M440" s="9">
        <f t="shared" si="41"/>
        <v>51.102853424000003</v>
      </c>
      <c r="N440" t="s">
        <v>820</v>
      </c>
      <c r="O440" s="9">
        <v>51.098300000000002</v>
      </c>
      <c r="P440" s="9">
        <f t="shared" si="42"/>
        <v>-4.5534240000009163E-3</v>
      </c>
      <c r="Q440" s="16">
        <f t="shared" si="44"/>
        <v>51.102853424000003</v>
      </c>
    </row>
    <row r="441" spans="1:17" x14ac:dyDescent="0.25">
      <c r="A441" s="3" t="s">
        <v>822</v>
      </c>
      <c r="B441" s="4" t="s">
        <v>823</v>
      </c>
      <c r="C441" s="12">
        <f t="shared" si="47"/>
        <v>0</v>
      </c>
      <c r="D441" s="4" t="s">
        <v>13</v>
      </c>
      <c r="E441" s="4" t="s">
        <v>23</v>
      </c>
      <c r="F441" s="4" t="s">
        <v>24</v>
      </c>
      <c r="G441" s="4" t="s">
        <v>25</v>
      </c>
      <c r="H441" s="4" t="s">
        <v>25</v>
      </c>
      <c r="I441" s="4">
        <v>0</v>
      </c>
      <c r="J441" s="4" t="s">
        <v>13</v>
      </c>
      <c r="K441" s="4" t="s">
        <v>18</v>
      </c>
      <c r="L441" t="s">
        <v>822</v>
      </c>
      <c r="M441" s="9">
        <f t="shared" si="41"/>
        <v>0</v>
      </c>
      <c r="N441">
        <v>0</v>
      </c>
      <c r="O441" s="9">
        <v>0</v>
      </c>
      <c r="P441" s="9">
        <f t="shared" si="42"/>
        <v>0</v>
      </c>
      <c r="Q441" s="16">
        <f t="shared" si="44"/>
        <v>0</v>
      </c>
    </row>
    <row r="442" spans="1:17" x14ac:dyDescent="0.25">
      <c r="A442" s="3" t="s">
        <v>824</v>
      </c>
      <c r="B442" s="4" t="s">
        <v>825</v>
      </c>
      <c r="C442" s="12">
        <f t="shared" si="47"/>
        <v>7.7249999999999996</v>
      </c>
      <c r="D442" s="4" t="s">
        <v>13</v>
      </c>
      <c r="E442" s="4" t="s">
        <v>23</v>
      </c>
      <c r="F442" s="4" t="s">
        <v>24</v>
      </c>
      <c r="G442" s="4" t="s">
        <v>25</v>
      </c>
      <c r="H442" s="4" t="s">
        <v>25</v>
      </c>
      <c r="I442" s="4">
        <v>7.5</v>
      </c>
      <c r="J442" s="4" t="s">
        <v>13</v>
      </c>
      <c r="K442" s="4" t="s">
        <v>18</v>
      </c>
      <c r="L442" t="s">
        <v>824</v>
      </c>
      <c r="M442" s="9">
        <f t="shared" si="41"/>
        <v>9.3755234999999999</v>
      </c>
      <c r="N442">
        <v>0</v>
      </c>
      <c r="O442" s="9">
        <v>0</v>
      </c>
      <c r="P442" s="9">
        <f t="shared" si="42"/>
        <v>-9.3755234999999999</v>
      </c>
      <c r="Q442" s="16">
        <f t="shared" si="44"/>
        <v>9.3755234999999999</v>
      </c>
    </row>
    <row r="443" spans="1:17" x14ac:dyDescent="0.25">
      <c r="A443" s="3" t="s">
        <v>826</v>
      </c>
      <c r="B443" s="4" t="s">
        <v>827</v>
      </c>
      <c r="C443" s="12">
        <f t="shared" si="47"/>
        <v>8.4975000000000005</v>
      </c>
      <c r="D443" s="4" t="s">
        <v>13</v>
      </c>
      <c r="E443" s="4" t="s">
        <v>23</v>
      </c>
      <c r="F443" s="4" t="s">
        <v>24</v>
      </c>
      <c r="G443" s="4" t="s">
        <v>25</v>
      </c>
      <c r="H443" s="4" t="s">
        <v>25</v>
      </c>
      <c r="I443" s="4">
        <v>8.25</v>
      </c>
      <c r="J443" s="4" t="s">
        <v>13</v>
      </c>
      <c r="K443" s="4" t="s">
        <v>18</v>
      </c>
      <c r="L443" t="s">
        <v>826</v>
      </c>
      <c r="M443" s="9">
        <f t="shared" si="41"/>
        <v>10.313075850000001</v>
      </c>
      <c r="N443">
        <v>0</v>
      </c>
      <c r="O443" s="9">
        <v>0</v>
      </c>
      <c r="P443" s="9">
        <f t="shared" si="42"/>
        <v>-10.313075850000001</v>
      </c>
      <c r="Q443" s="16">
        <f t="shared" si="44"/>
        <v>10.313075850000001</v>
      </c>
    </row>
    <row r="444" spans="1:17" x14ac:dyDescent="0.25">
      <c r="A444" s="3" t="s">
        <v>828</v>
      </c>
      <c r="B444" s="4" t="s">
        <v>829</v>
      </c>
      <c r="C444" s="12">
        <f t="shared" si="47"/>
        <v>9.2905999999999995</v>
      </c>
      <c r="D444" s="4" t="s">
        <v>13</v>
      </c>
      <c r="E444" s="4" t="s">
        <v>23</v>
      </c>
      <c r="F444" s="4" t="s">
        <v>24</v>
      </c>
      <c r="G444" s="4" t="s">
        <v>25</v>
      </c>
      <c r="H444" s="4" t="s">
        <v>25</v>
      </c>
      <c r="I444" s="4">
        <v>9.02</v>
      </c>
      <c r="J444" s="4" t="s">
        <v>13</v>
      </c>
      <c r="K444" s="4" t="s">
        <v>18</v>
      </c>
      <c r="L444" t="s">
        <v>828</v>
      </c>
      <c r="M444" s="9">
        <f t="shared" si="41"/>
        <v>11.275629596</v>
      </c>
      <c r="N444">
        <v>0</v>
      </c>
      <c r="O444" s="9">
        <v>0</v>
      </c>
      <c r="P444" s="9">
        <f t="shared" si="42"/>
        <v>-11.275629596</v>
      </c>
      <c r="Q444" s="16">
        <f t="shared" si="44"/>
        <v>11.275629596</v>
      </c>
    </row>
    <row r="445" spans="1:17" x14ac:dyDescent="0.25">
      <c r="A445" s="3" t="s">
        <v>830</v>
      </c>
      <c r="B445" s="4" t="s">
        <v>831</v>
      </c>
      <c r="C445" s="12">
        <f t="shared" si="47"/>
        <v>0</v>
      </c>
      <c r="D445" s="4" t="s">
        <v>13</v>
      </c>
      <c r="E445" s="4" t="s">
        <v>23</v>
      </c>
      <c r="F445" s="4" t="s">
        <v>24</v>
      </c>
      <c r="G445" s="4" t="s">
        <v>25</v>
      </c>
      <c r="H445" s="4" t="s">
        <v>25</v>
      </c>
      <c r="I445" s="4">
        <v>0</v>
      </c>
      <c r="J445" s="4" t="s">
        <v>13</v>
      </c>
      <c r="K445" s="4" t="s">
        <v>18</v>
      </c>
      <c r="L445" t="s">
        <v>830</v>
      </c>
      <c r="M445" s="9">
        <f t="shared" si="41"/>
        <v>0</v>
      </c>
      <c r="N445">
        <v>0</v>
      </c>
      <c r="O445" s="9">
        <v>0</v>
      </c>
      <c r="P445" s="9">
        <f t="shared" si="42"/>
        <v>0</v>
      </c>
      <c r="Q445" s="16">
        <f t="shared" si="44"/>
        <v>0</v>
      </c>
    </row>
    <row r="446" spans="1:17" x14ac:dyDescent="0.25">
      <c r="A446" s="7" t="s">
        <v>832</v>
      </c>
      <c r="B446" s="8" t="s">
        <v>833</v>
      </c>
      <c r="C446" s="14">
        <v>80</v>
      </c>
      <c r="D446" s="8" t="s">
        <v>242</v>
      </c>
      <c r="E446" s="8" t="s">
        <v>14</v>
      </c>
      <c r="F446" s="8" t="s">
        <v>33</v>
      </c>
      <c r="G446" s="8" t="s">
        <v>34</v>
      </c>
      <c r="H446" s="8" t="s">
        <v>489</v>
      </c>
      <c r="I446" s="8">
        <v>76.97</v>
      </c>
      <c r="J446" s="8" t="s">
        <v>242</v>
      </c>
      <c r="K446" s="8" t="s">
        <v>18</v>
      </c>
      <c r="L446">
        <v>0</v>
      </c>
      <c r="M446" s="9">
        <f t="shared" si="41"/>
        <v>97.092799999999997</v>
      </c>
      <c r="N446">
        <v>0</v>
      </c>
      <c r="O446" s="9">
        <v>0</v>
      </c>
      <c r="P446" s="9">
        <f t="shared" si="42"/>
        <v>-97.092799999999997</v>
      </c>
      <c r="Q446" s="16">
        <f t="shared" si="44"/>
        <v>97.092799999999997</v>
      </c>
    </row>
    <row r="447" spans="1:17" x14ac:dyDescent="0.25">
      <c r="A447" s="3" t="s">
        <v>834</v>
      </c>
      <c r="B447" s="4" t="s">
        <v>833</v>
      </c>
      <c r="C447" s="12"/>
      <c r="D447" s="4" t="s">
        <v>242</v>
      </c>
      <c r="E447" s="4" t="s">
        <v>14</v>
      </c>
      <c r="F447" s="4" t="s">
        <v>33</v>
      </c>
      <c r="G447" s="4" t="s">
        <v>34</v>
      </c>
      <c r="H447" s="4" t="s">
        <v>489</v>
      </c>
      <c r="I447" s="4"/>
      <c r="J447" s="4" t="s">
        <v>242</v>
      </c>
      <c r="K447" s="4" t="s">
        <v>18</v>
      </c>
      <c r="L447">
        <v>0</v>
      </c>
      <c r="M447" s="9">
        <f t="shared" si="41"/>
        <v>0</v>
      </c>
      <c r="N447">
        <v>0</v>
      </c>
      <c r="O447" s="9">
        <v>0</v>
      </c>
      <c r="P447" s="9">
        <f t="shared" si="42"/>
        <v>0</v>
      </c>
      <c r="Q447" s="16">
        <f t="shared" si="44"/>
        <v>0</v>
      </c>
    </row>
    <row r="448" spans="1:17" x14ac:dyDescent="0.25">
      <c r="A448" s="3" t="s">
        <v>835</v>
      </c>
      <c r="B448" s="4" t="s">
        <v>836</v>
      </c>
      <c r="C448" s="12" t="s">
        <v>12</v>
      </c>
      <c r="D448" s="4" t="s">
        <v>242</v>
      </c>
      <c r="E448" s="4" t="s">
        <v>14</v>
      </c>
      <c r="F448" s="4" t="s">
        <v>33</v>
      </c>
      <c r="G448" s="4" t="s">
        <v>34</v>
      </c>
      <c r="H448" s="4" t="s">
        <v>489</v>
      </c>
      <c r="I448" s="4"/>
      <c r="J448" s="4" t="s">
        <v>242</v>
      </c>
      <c r="K448" s="4" t="s">
        <v>18</v>
      </c>
      <c r="L448">
        <v>0</v>
      </c>
      <c r="M448" s="9" t="e">
        <f t="shared" si="41"/>
        <v>#VALUE!</v>
      </c>
      <c r="N448">
        <v>0</v>
      </c>
      <c r="O448" s="9">
        <v>0</v>
      </c>
      <c r="P448" s="9" t="e">
        <f t="shared" si="42"/>
        <v>#VALUE!</v>
      </c>
      <c r="Q448" s="16" t="e">
        <f t="shared" si="44"/>
        <v>#VALUE!</v>
      </c>
    </row>
    <row r="449" spans="1:17" x14ac:dyDescent="0.25">
      <c r="A449" s="3" t="s">
        <v>837</v>
      </c>
      <c r="B449" s="4" t="s">
        <v>838</v>
      </c>
      <c r="C449" s="12" t="s">
        <v>12</v>
      </c>
      <c r="D449" s="4" t="s">
        <v>242</v>
      </c>
      <c r="E449" s="4" t="s">
        <v>14</v>
      </c>
      <c r="F449" s="4" t="s">
        <v>33</v>
      </c>
      <c r="G449" s="4" t="s">
        <v>34</v>
      </c>
      <c r="H449" s="4" t="s">
        <v>489</v>
      </c>
      <c r="I449" s="4"/>
      <c r="J449" s="4" t="s">
        <v>242</v>
      </c>
      <c r="K449" s="4" t="s">
        <v>18</v>
      </c>
      <c r="L449">
        <v>0</v>
      </c>
      <c r="M449" s="9" t="e">
        <f t="shared" si="41"/>
        <v>#VALUE!</v>
      </c>
      <c r="N449">
        <v>0</v>
      </c>
      <c r="O449" s="9">
        <v>0</v>
      </c>
      <c r="P449" s="9" t="e">
        <f t="shared" si="42"/>
        <v>#VALUE!</v>
      </c>
      <c r="Q449" s="16" t="e">
        <f t="shared" si="44"/>
        <v>#VALUE!</v>
      </c>
    </row>
    <row r="450" spans="1:17" x14ac:dyDescent="0.25">
      <c r="A450" s="3" t="s">
        <v>839</v>
      </c>
      <c r="B450" s="4" t="s">
        <v>840</v>
      </c>
      <c r="C450" s="12">
        <v>53.56</v>
      </c>
      <c r="D450" s="4" t="s">
        <v>191</v>
      </c>
      <c r="E450" s="4" t="s">
        <v>14</v>
      </c>
      <c r="F450" s="4" t="s">
        <v>33</v>
      </c>
      <c r="G450" s="4" t="s">
        <v>34</v>
      </c>
      <c r="H450" s="4" t="s">
        <v>35</v>
      </c>
      <c r="I450" s="4">
        <v>52</v>
      </c>
      <c r="J450" s="4" t="s">
        <v>191</v>
      </c>
      <c r="K450" s="4" t="s">
        <v>18</v>
      </c>
      <c r="L450" t="s">
        <v>839</v>
      </c>
      <c r="M450" s="9">
        <f t="shared" si="41"/>
        <v>65.003629599999996</v>
      </c>
      <c r="N450">
        <v>0</v>
      </c>
      <c r="O450" s="9">
        <v>0</v>
      </c>
      <c r="P450" s="9">
        <f t="shared" si="42"/>
        <v>-65.003629599999996</v>
      </c>
      <c r="Q450" s="16">
        <f t="shared" si="44"/>
        <v>65.003629599999996</v>
      </c>
    </row>
    <row r="451" spans="1:17" x14ac:dyDescent="0.25">
      <c r="A451" s="3" t="s">
        <v>841</v>
      </c>
      <c r="B451" s="4" t="s">
        <v>842</v>
      </c>
      <c r="C451" s="12">
        <v>15.59</v>
      </c>
      <c r="D451" s="4" t="s">
        <v>191</v>
      </c>
      <c r="E451" s="4" t="s">
        <v>14</v>
      </c>
      <c r="F451" s="4" t="s">
        <v>33</v>
      </c>
      <c r="G451" s="4" t="s">
        <v>34</v>
      </c>
      <c r="H451" s="4" t="s">
        <v>35</v>
      </c>
      <c r="I451" s="4">
        <v>15.14</v>
      </c>
      <c r="J451" s="4" t="s">
        <v>191</v>
      </c>
      <c r="K451" s="4" t="s">
        <v>18</v>
      </c>
      <c r="L451" t="s">
        <v>841</v>
      </c>
      <c r="M451" s="9">
        <f t="shared" ref="M451:M514" si="48">C451*1.21366</f>
        <v>18.920959400000001</v>
      </c>
      <c r="N451">
        <v>0</v>
      </c>
      <c r="O451" s="9">
        <v>0</v>
      </c>
      <c r="P451" s="9">
        <f t="shared" ref="P451:P514" si="49">O451-M451</f>
        <v>-18.920959400000001</v>
      </c>
      <c r="Q451" s="16">
        <f t="shared" si="44"/>
        <v>18.920959400000001</v>
      </c>
    </row>
    <row r="452" spans="1:17" x14ac:dyDescent="0.25">
      <c r="A452" s="3" t="s">
        <v>843</v>
      </c>
      <c r="B452" s="4" t="s">
        <v>844</v>
      </c>
      <c r="C452" s="12">
        <v>94.76</v>
      </c>
      <c r="D452" s="4" t="s">
        <v>191</v>
      </c>
      <c r="E452" s="4" t="s">
        <v>14</v>
      </c>
      <c r="F452" s="4" t="s">
        <v>33</v>
      </c>
      <c r="G452" s="4" t="s">
        <v>34</v>
      </c>
      <c r="H452" s="4" t="s">
        <v>35</v>
      </c>
      <c r="I452" s="4">
        <v>92</v>
      </c>
      <c r="J452" s="4" t="s">
        <v>191</v>
      </c>
      <c r="K452" s="4" t="s">
        <v>18</v>
      </c>
      <c r="L452" t="s">
        <v>843</v>
      </c>
      <c r="M452" s="9">
        <f t="shared" si="48"/>
        <v>115.0064216</v>
      </c>
      <c r="N452">
        <v>0</v>
      </c>
      <c r="O452" s="9">
        <v>0</v>
      </c>
      <c r="P452" s="9">
        <f t="shared" si="49"/>
        <v>-115.0064216</v>
      </c>
      <c r="Q452" s="16">
        <f t="shared" si="44"/>
        <v>115.0064216</v>
      </c>
    </row>
    <row r="453" spans="1:17" x14ac:dyDescent="0.25">
      <c r="A453" s="3" t="s">
        <v>845</v>
      </c>
      <c r="B453" s="4" t="s">
        <v>846</v>
      </c>
      <c r="C453" s="12">
        <v>21.63</v>
      </c>
      <c r="D453" s="4" t="s">
        <v>118</v>
      </c>
      <c r="E453" s="4" t="s">
        <v>14</v>
      </c>
      <c r="F453" s="4" t="s">
        <v>131</v>
      </c>
      <c r="G453" s="4" t="s">
        <v>132</v>
      </c>
      <c r="H453" s="4" t="s">
        <v>133</v>
      </c>
      <c r="I453" s="4">
        <v>21</v>
      </c>
      <c r="J453" s="4" t="s">
        <v>118</v>
      </c>
      <c r="K453" s="4" t="s">
        <v>18</v>
      </c>
      <c r="L453" t="s">
        <v>845</v>
      </c>
      <c r="M453" s="9">
        <f t="shared" si="48"/>
        <v>26.251465799999998</v>
      </c>
      <c r="N453">
        <v>0</v>
      </c>
      <c r="O453" s="9">
        <v>0</v>
      </c>
      <c r="P453" s="9">
        <f t="shared" si="49"/>
        <v>-26.251465799999998</v>
      </c>
      <c r="Q453" s="16">
        <f t="shared" si="44"/>
        <v>26.251465799999998</v>
      </c>
    </row>
    <row r="454" spans="1:17" x14ac:dyDescent="0.25">
      <c r="A454" s="3" t="s">
        <v>847</v>
      </c>
      <c r="B454" s="4" t="s">
        <v>848</v>
      </c>
      <c r="C454" s="12">
        <v>10.82</v>
      </c>
      <c r="D454" s="4" t="s">
        <v>32</v>
      </c>
      <c r="E454" s="4" t="s">
        <v>14</v>
      </c>
      <c r="F454" s="4" t="s">
        <v>15</v>
      </c>
      <c r="G454" s="4" t="s">
        <v>16</v>
      </c>
      <c r="H454" s="4" t="s">
        <v>17</v>
      </c>
      <c r="I454" s="4">
        <v>10.5</v>
      </c>
      <c r="J454" s="4" t="s">
        <v>32</v>
      </c>
      <c r="K454" s="4" t="s">
        <v>18</v>
      </c>
      <c r="L454" t="s">
        <v>847</v>
      </c>
      <c r="M454" s="9">
        <f t="shared" si="48"/>
        <v>13.1318012</v>
      </c>
      <c r="N454">
        <v>0</v>
      </c>
      <c r="O454" s="9">
        <v>0</v>
      </c>
      <c r="P454" s="9">
        <f t="shared" si="49"/>
        <v>-13.1318012</v>
      </c>
      <c r="Q454" s="16">
        <f t="shared" si="44"/>
        <v>13.1318012</v>
      </c>
    </row>
    <row r="455" spans="1:17" x14ac:dyDescent="0.25">
      <c r="A455" s="3" t="s">
        <v>849</v>
      </c>
      <c r="B455" s="4" t="s">
        <v>850</v>
      </c>
      <c r="C455" s="12">
        <v>10.82</v>
      </c>
      <c r="D455" s="4" t="s">
        <v>32</v>
      </c>
      <c r="E455" s="4" t="s">
        <v>14</v>
      </c>
      <c r="F455" s="4" t="s">
        <v>15</v>
      </c>
      <c r="G455" s="4" t="s">
        <v>16</v>
      </c>
      <c r="H455" s="4" t="s">
        <v>17</v>
      </c>
      <c r="I455" s="4">
        <v>10.5</v>
      </c>
      <c r="J455" s="4" t="s">
        <v>32</v>
      </c>
      <c r="K455" s="4" t="s">
        <v>18</v>
      </c>
      <c r="L455" t="s">
        <v>849</v>
      </c>
      <c r="M455" s="9">
        <f t="shared" si="48"/>
        <v>13.1318012</v>
      </c>
      <c r="N455">
        <v>0</v>
      </c>
      <c r="O455" s="9">
        <v>0</v>
      </c>
      <c r="P455" s="9">
        <f t="shared" si="49"/>
        <v>-13.1318012</v>
      </c>
      <c r="Q455" s="16">
        <f t="shared" si="44"/>
        <v>13.1318012</v>
      </c>
    </row>
    <row r="456" spans="1:17" x14ac:dyDescent="0.25">
      <c r="A456" s="3" t="s">
        <v>851</v>
      </c>
      <c r="B456" s="4" t="s">
        <v>852</v>
      </c>
      <c r="C456" s="12">
        <v>96.82</v>
      </c>
      <c r="D456" s="4" t="s">
        <v>383</v>
      </c>
      <c r="E456" s="4"/>
      <c r="F456" s="4" t="s">
        <v>33</v>
      </c>
      <c r="G456" s="4" t="s">
        <v>34</v>
      </c>
      <c r="H456" s="4" t="s">
        <v>35</v>
      </c>
      <c r="I456" s="4">
        <v>94</v>
      </c>
      <c r="J456" s="4" t="s">
        <v>383</v>
      </c>
      <c r="K456" s="4" t="s">
        <v>18</v>
      </c>
      <c r="L456" t="s">
        <v>851</v>
      </c>
      <c r="M456" s="9">
        <f t="shared" si="48"/>
        <v>117.50656119999999</v>
      </c>
      <c r="N456">
        <v>0</v>
      </c>
      <c r="O456" s="9">
        <v>0</v>
      </c>
      <c r="P456" s="9">
        <f t="shared" si="49"/>
        <v>-117.50656119999999</v>
      </c>
      <c r="Q456" s="16">
        <f t="shared" si="44"/>
        <v>117.50656119999999</v>
      </c>
    </row>
    <row r="457" spans="1:17" x14ac:dyDescent="0.25">
      <c r="A457" s="3" t="s">
        <v>853</v>
      </c>
      <c r="B457" s="4" t="s">
        <v>854</v>
      </c>
      <c r="C457" s="12">
        <v>10.199999999999999</v>
      </c>
      <c r="D457" s="4" t="s">
        <v>191</v>
      </c>
      <c r="E457" s="4" t="s">
        <v>14</v>
      </c>
      <c r="F457" s="4" t="s">
        <v>33</v>
      </c>
      <c r="G457" s="4" t="s">
        <v>34</v>
      </c>
      <c r="H457" s="4" t="s">
        <v>35</v>
      </c>
      <c r="I457" s="4">
        <v>9.9</v>
      </c>
      <c r="J457" s="4" t="s">
        <v>191</v>
      </c>
      <c r="K457" s="4" t="s">
        <v>18</v>
      </c>
      <c r="L457" t="s">
        <v>853</v>
      </c>
      <c r="M457" s="9">
        <f t="shared" si="48"/>
        <v>12.379331999999998</v>
      </c>
      <c r="N457">
        <v>0</v>
      </c>
      <c r="O457" s="9">
        <v>0</v>
      </c>
      <c r="P457" s="9">
        <f t="shared" si="49"/>
        <v>-12.379331999999998</v>
      </c>
      <c r="Q457" s="16">
        <f t="shared" si="44"/>
        <v>12.379331999999998</v>
      </c>
    </row>
    <row r="458" spans="1:17" x14ac:dyDescent="0.25">
      <c r="A458" s="3" t="s">
        <v>855</v>
      </c>
      <c r="B458" s="4" t="s">
        <v>856</v>
      </c>
      <c r="C458" s="12">
        <v>7.62</v>
      </c>
      <c r="D458" s="4" t="s">
        <v>191</v>
      </c>
      <c r="E458" s="4" t="s">
        <v>14</v>
      </c>
      <c r="F458" s="4" t="s">
        <v>33</v>
      </c>
      <c r="G458" s="4" t="s">
        <v>34</v>
      </c>
      <c r="H458" s="4" t="s">
        <v>270</v>
      </c>
      <c r="I458" s="4">
        <v>7.4</v>
      </c>
      <c r="J458" s="4" t="s">
        <v>191</v>
      </c>
      <c r="K458" s="4" t="s">
        <v>18</v>
      </c>
      <c r="L458" t="s">
        <v>855</v>
      </c>
      <c r="M458" s="9">
        <f t="shared" si="48"/>
        <v>9.248089199999999</v>
      </c>
      <c r="N458">
        <v>0</v>
      </c>
      <c r="O458" s="9">
        <v>0</v>
      </c>
      <c r="P458" s="9">
        <f t="shared" si="49"/>
        <v>-9.248089199999999</v>
      </c>
      <c r="Q458" s="16">
        <f t="shared" si="44"/>
        <v>9.248089199999999</v>
      </c>
    </row>
    <row r="459" spans="1:17" x14ac:dyDescent="0.25">
      <c r="A459" s="3" t="s">
        <v>857</v>
      </c>
      <c r="B459" s="4" t="s">
        <v>858</v>
      </c>
      <c r="C459" s="12">
        <v>7.62</v>
      </c>
      <c r="D459" s="4" t="s">
        <v>191</v>
      </c>
      <c r="E459" s="4" t="s">
        <v>14</v>
      </c>
      <c r="F459" s="4" t="s">
        <v>33</v>
      </c>
      <c r="G459" s="4" t="s">
        <v>34</v>
      </c>
      <c r="H459" s="4" t="s">
        <v>35</v>
      </c>
      <c r="I459" s="4">
        <v>7.4</v>
      </c>
      <c r="J459" s="4" t="s">
        <v>191</v>
      </c>
      <c r="K459" s="4" t="s">
        <v>18</v>
      </c>
      <c r="L459" t="s">
        <v>857</v>
      </c>
      <c r="M459" s="9">
        <f t="shared" si="48"/>
        <v>9.248089199999999</v>
      </c>
      <c r="N459">
        <v>0</v>
      </c>
      <c r="O459" s="9">
        <v>0</v>
      </c>
      <c r="P459" s="9">
        <f t="shared" si="49"/>
        <v>-9.248089199999999</v>
      </c>
      <c r="Q459" s="16">
        <f t="shared" si="44"/>
        <v>9.248089199999999</v>
      </c>
    </row>
    <row r="460" spans="1:17" x14ac:dyDescent="0.25">
      <c r="A460" s="3">
        <v>7362224</v>
      </c>
      <c r="B460" s="4" t="s">
        <v>859</v>
      </c>
      <c r="C460" s="12">
        <v>143.30000000000001</v>
      </c>
      <c r="D460" s="4" t="s">
        <v>118</v>
      </c>
      <c r="E460" s="4" t="s">
        <v>14</v>
      </c>
      <c r="F460" s="4" t="s">
        <v>33</v>
      </c>
      <c r="G460" s="4" t="s">
        <v>34</v>
      </c>
      <c r="H460" s="4" t="s">
        <v>330</v>
      </c>
      <c r="I460" s="4">
        <v>5.7968999999999999</v>
      </c>
      <c r="J460" s="4" t="s">
        <v>331</v>
      </c>
      <c r="K460" s="4" t="s">
        <v>18</v>
      </c>
      <c r="L460">
        <v>0</v>
      </c>
      <c r="M460" s="9">
        <f t="shared" si="48"/>
        <v>173.91747800000002</v>
      </c>
      <c r="N460">
        <v>0</v>
      </c>
      <c r="O460" s="9">
        <v>0</v>
      </c>
      <c r="P460" s="9">
        <f t="shared" si="49"/>
        <v>-173.91747800000002</v>
      </c>
      <c r="Q460" s="16">
        <f t="shared" si="44"/>
        <v>173.91747800000002</v>
      </c>
    </row>
    <row r="461" spans="1:17" x14ac:dyDescent="0.25">
      <c r="A461" s="3">
        <v>7362320</v>
      </c>
      <c r="B461" s="4" t="s">
        <v>860</v>
      </c>
      <c r="C461" s="12">
        <v>292.01</v>
      </c>
      <c r="D461" s="4" t="s">
        <v>118</v>
      </c>
      <c r="E461" s="4" t="s">
        <v>14</v>
      </c>
      <c r="F461" s="4" t="s">
        <v>33</v>
      </c>
      <c r="G461" s="4" t="s">
        <v>34</v>
      </c>
      <c r="H461" s="4" t="s">
        <v>330</v>
      </c>
      <c r="I461" s="4">
        <v>14.175000000000001</v>
      </c>
      <c r="J461" s="4" t="s">
        <v>331</v>
      </c>
      <c r="K461" s="4" t="s">
        <v>18</v>
      </c>
      <c r="L461">
        <v>0</v>
      </c>
      <c r="M461" s="9">
        <f t="shared" si="48"/>
        <v>354.4008566</v>
      </c>
      <c r="N461">
        <v>0</v>
      </c>
      <c r="O461" s="9">
        <v>0</v>
      </c>
      <c r="P461" s="9">
        <f t="shared" si="49"/>
        <v>-354.4008566</v>
      </c>
      <c r="Q461" s="16">
        <f t="shared" si="44"/>
        <v>354.4008566</v>
      </c>
    </row>
    <row r="462" spans="1:17" x14ac:dyDescent="0.25">
      <c r="A462" s="3" t="s">
        <v>861</v>
      </c>
      <c r="B462" s="4" t="s">
        <v>862</v>
      </c>
      <c r="C462" s="12">
        <f>I462*3%+I462</f>
        <v>7.0658000000000003</v>
      </c>
      <c r="D462" s="4" t="s">
        <v>13</v>
      </c>
      <c r="E462" s="4" t="s">
        <v>14</v>
      </c>
      <c r="F462" s="4" t="s">
        <v>15</v>
      </c>
      <c r="G462" s="4" t="s">
        <v>16</v>
      </c>
      <c r="H462" s="4" t="s">
        <v>17</v>
      </c>
      <c r="I462" s="4">
        <v>6.86</v>
      </c>
      <c r="J462" s="4" t="s">
        <v>13</v>
      </c>
      <c r="K462" s="4" t="s">
        <v>18</v>
      </c>
      <c r="L462" t="s">
        <v>861</v>
      </c>
      <c r="M462" s="9">
        <f t="shared" si="48"/>
        <v>8.5754788279999996</v>
      </c>
      <c r="N462">
        <v>0</v>
      </c>
      <c r="O462" s="9">
        <v>0</v>
      </c>
      <c r="P462" s="9">
        <f t="shared" si="49"/>
        <v>-8.5754788279999996</v>
      </c>
      <c r="Q462" s="16">
        <f t="shared" si="44"/>
        <v>8.5754788279999996</v>
      </c>
    </row>
    <row r="463" spans="1:17" x14ac:dyDescent="0.25">
      <c r="A463" s="3" t="s">
        <v>863</v>
      </c>
      <c r="B463" s="4" t="s">
        <v>864</v>
      </c>
      <c r="C463" s="12">
        <f t="shared" ref="C463:C470" si="50">I463*3%+I463</f>
        <v>46.247</v>
      </c>
      <c r="D463" s="4" t="s">
        <v>111</v>
      </c>
      <c r="E463" s="4" t="s">
        <v>14</v>
      </c>
      <c r="F463" s="4" t="s">
        <v>131</v>
      </c>
      <c r="G463" s="4" t="s">
        <v>132</v>
      </c>
      <c r="H463" s="4" t="s">
        <v>133</v>
      </c>
      <c r="I463" s="4">
        <v>44.9</v>
      </c>
      <c r="J463" s="4" t="s">
        <v>111</v>
      </c>
      <c r="K463" s="4" t="s">
        <v>18</v>
      </c>
      <c r="L463" t="s">
        <v>863</v>
      </c>
      <c r="M463" s="9">
        <f t="shared" si="48"/>
        <v>56.128134019999997</v>
      </c>
      <c r="N463">
        <v>0</v>
      </c>
      <c r="O463" s="9">
        <v>0</v>
      </c>
      <c r="P463" s="9">
        <f t="shared" si="49"/>
        <v>-56.128134019999997</v>
      </c>
      <c r="Q463" s="16">
        <f t="shared" si="44"/>
        <v>56.128134019999997</v>
      </c>
    </row>
    <row r="464" spans="1:17" x14ac:dyDescent="0.25">
      <c r="A464" s="3" t="s">
        <v>865</v>
      </c>
      <c r="B464" s="4" t="s">
        <v>866</v>
      </c>
      <c r="C464" s="12">
        <f t="shared" si="50"/>
        <v>46.247</v>
      </c>
      <c r="D464" s="4" t="s">
        <v>111</v>
      </c>
      <c r="E464" s="4" t="s">
        <v>14</v>
      </c>
      <c r="F464" s="4" t="s">
        <v>131</v>
      </c>
      <c r="G464" s="4" t="s">
        <v>132</v>
      </c>
      <c r="H464" s="4" t="s">
        <v>133</v>
      </c>
      <c r="I464" s="4">
        <v>44.9</v>
      </c>
      <c r="J464" s="4" t="s">
        <v>111</v>
      </c>
      <c r="K464" s="4" t="s">
        <v>18</v>
      </c>
      <c r="L464" t="s">
        <v>865</v>
      </c>
      <c r="M464" s="9">
        <f t="shared" si="48"/>
        <v>56.128134019999997</v>
      </c>
      <c r="N464">
        <v>0</v>
      </c>
      <c r="O464" s="9">
        <v>0</v>
      </c>
      <c r="P464" s="9">
        <f t="shared" si="49"/>
        <v>-56.128134019999997</v>
      </c>
      <c r="Q464" s="16">
        <f t="shared" si="44"/>
        <v>56.128134019999997</v>
      </c>
    </row>
    <row r="465" spans="1:17" x14ac:dyDescent="0.25">
      <c r="A465" s="3" t="s">
        <v>867</v>
      </c>
      <c r="B465" s="4" t="s">
        <v>868</v>
      </c>
      <c r="C465" s="12">
        <f t="shared" si="50"/>
        <v>77.25</v>
      </c>
      <c r="D465" s="4" t="s">
        <v>111</v>
      </c>
      <c r="E465" s="4" t="s">
        <v>14</v>
      </c>
      <c r="F465" s="4" t="s">
        <v>33</v>
      </c>
      <c r="G465" s="4" t="s">
        <v>34</v>
      </c>
      <c r="H465" s="4" t="s">
        <v>489</v>
      </c>
      <c r="I465" s="4">
        <v>75</v>
      </c>
      <c r="J465" s="4" t="s">
        <v>111</v>
      </c>
      <c r="K465" s="4" t="s">
        <v>18</v>
      </c>
      <c r="L465" t="s">
        <v>867</v>
      </c>
      <c r="M465" s="9">
        <f t="shared" si="48"/>
        <v>93.755234999999999</v>
      </c>
      <c r="N465">
        <v>0</v>
      </c>
      <c r="O465" s="9">
        <v>0</v>
      </c>
      <c r="P465" s="9">
        <f t="shared" si="49"/>
        <v>-93.755234999999999</v>
      </c>
      <c r="Q465" s="16">
        <f t="shared" si="44"/>
        <v>93.755234999999999</v>
      </c>
    </row>
    <row r="466" spans="1:17" x14ac:dyDescent="0.25">
      <c r="A466" s="3" t="s">
        <v>869</v>
      </c>
      <c r="B466" s="4" t="s">
        <v>870</v>
      </c>
      <c r="C466" s="12">
        <f t="shared" si="50"/>
        <v>50.109499999999997</v>
      </c>
      <c r="D466" s="4" t="s">
        <v>111</v>
      </c>
      <c r="E466" s="4" t="s">
        <v>14</v>
      </c>
      <c r="F466" s="4" t="s">
        <v>33</v>
      </c>
      <c r="G466" s="4" t="s">
        <v>34</v>
      </c>
      <c r="H466" s="4" t="s">
        <v>265</v>
      </c>
      <c r="I466" s="4">
        <v>48.65</v>
      </c>
      <c r="J466" s="4" t="s">
        <v>111</v>
      </c>
      <c r="K466" s="4" t="s">
        <v>18</v>
      </c>
      <c r="L466" t="s">
        <v>869</v>
      </c>
      <c r="M466" s="9">
        <f t="shared" si="48"/>
        <v>60.815895769999997</v>
      </c>
      <c r="N466">
        <v>0</v>
      </c>
      <c r="O466" s="9">
        <v>0</v>
      </c>
      <c r="P466" s="9">
        <f t="shared" si="49"/>
        <v>-60.815895769999997</v>
      </c>
      <c r="Q466" s="16">
        <f t="shared" si="44"/>
        <v>60.815895769999997</v>
      </c>
    </row>
    <row r="467" spans="1:17" x14ac:dyDescent="0.25">
      <c r="A467" s="3" t="s">
        <v>871</v>
      </c>
      <c r="B467" s="4" t="s">
        <v>872</v>
      </c>
      <c r="C467" s="12">
        <f t="shared" si="50"/>
        <v>65.92</v>
      </c>
      <c r="D467" s="4" t="s">
        <v>111</v>
      </c>
      <c r="E467" s="4" t="s">
        <v>14</v>
      </c>
      <c r="F467" s="4" t="s">
        <v>33</v>
      </c>
      <c r="G467" s="4" t="s">
        <v>34</v>
      </c>
      <c r="H467" s="4" t="s">
        <v>265</v>
      </c>
      <c r="I467" s="4">
        <v>64</v>
      </c>
      <c r="J467" s="4" t="s">
        <v>111</v>
      </c>
      <c r="K467" s="4" t="s">
        <v>18</v>
      </c>
      <c r="L467" t="s">
        <v>871</v>
      </c>
      <c r="M467" s="9">
        <f t="shared" si="48"/>
        <v>80.004467199999993</v>
      </c>
      <c r="N467">
        <v>0</v>
      </c>
      <c r="O467" s="9">
        <v>0</v>
      </c>
      <c r="P467" s="9">
        <f t="shared" si="49"/>
        <v>-80.004467199999993</v>
      </c>
      <c r="Q467" s="16">
        <f t="shared" si="44"/>
        <v>80.004467199999993</v>
      </c>
    </row>
    <row r="468" spans="1:17" x14ac:dyDescent="0.25">
      <c r="A468" s="3" t="s">
        <v>873</v>
      </c>
      <c r="B468" s="4" t="s">
        <v>874</v>
      </c>
      <c r="C468" s="12">
        <f t="shared" si="50"/>
        <v>15.635399999999999</v>
      </c>
      <c r="D468" s="4" t="s">
        <v>13</v>
      </c>
      <c r="E468" s="4" t="s">
        <v>23</v>
      </c>
      <c r="F468" s="4" t="s">
        <v>49</v>
      </c>
      <c r="G468" s="4" t="s">
        <v>50</v>
      </c>
      <c r="H468" s="4" t="s">
        <v>50</v>
      </c>
      <c r="I468" s="4">
        <v>15.18</v>
      </c>
      <c r="J468" s="4" t="s">
        <v>13</v>
      </c>
      <c r="K468" s="4" t="s">
        <v>18</v>
      </c>
      <c r="L468" t="s">
        <v>873</v>
      </c>
      <c r="M468" s="9">
        <f t="shared" si="48"/>
        <v>18.976059563999996</v>
      </c>
      <c r="N468" t="s">
        <v>873</v>
      </c>
      <c r="O468" s="9">
        <v>2.2042000000000002</v>
      </c>
      <c r="P468" s="9">
        <f t="shared" si="49"/>
        <v>-16.771859563999996</v>
      </c>
      <c r="Q468" s="16">
        <f t="shared" si="44"/>
        <v>18.976059563999996</v>
      </c>
    </row>
    <row r="469" spans="1:17" x14ac:dyDescent="0.25">
      <c r="A469" s="3" t="s">
        <v>875</v>
      </c>
      <c r="B469" s="4" t="s">
        <v>876</v>
      </c>
      <c r="C469" s="12">
        <f t="shared" si="50"/>
        <v>74.283600000000007</v>
      </c>
      <c r="D469" s="4" t="s">
        <v>13</v>
      </c>
      <c r="E469" s="4" t="s">
        <v>14</v>
      </c>
      <c r="F469" s="4" t="s">
        <v>33</v>
      </c>
      <c r="G469" s="4" t="s">
        <v>34</v>
      </c>
      <c r="H469" s="4" t="s">
        <v>231</v>
      </c>
      <c r="I469" s="4">
        <v>72.12</v>
      </c>
      <c r="J469" s="4" t="s">
        <v>13</v>
      </c>
      <c r="K469" s="4" t="s">
        <v>18</v>
      </c>
      <c r="L469" t="s">
        <v>875</v>
      </c>
      <c r="M469" s="9">
        <f t="shared" si="48"/>
        <v>90.155033975999999</v>
      </c>
      <c r="N469">
        <v>0</v>
      </c>
      <c r="O469" s="9">
        <v>0</v>
      </c>
      <c r="P469" s="9">
        <f t="shared" si="49"/>
        <v>-90.155033975999999</v>
      </c>
      <c r="Q469" s="16">
        <f t="shared" si="44"/>
        <v>90.155033975999999</v>
      </c>
    </row>
    <row r="470" spans="1:17" x14ac:dyDescent="0.25">
      <c r="A470" s="3" t="s">
        <v>877</v>
      </c>
      <c r="B470" s="4" t="s">
        <v>878</v>
      </c>
      <c r="C470" s="12">
        <f t="shared" si="50"/>
        <v>29.200500000000002</v>
      </c>
      <c r="D470" s="4" t="s">
        <v>13</v>
      </c>
      <c r="E470" s="4" t="s">
        <v>14</v>
      </c>
      <c r="F470" s="4" t="s">
        <v>15</v>
      </c>
      <c r="G470" s="4" t="s">
        <v>16</v>
      </c>
      <c r="H470" s="4" t="s">
        <v>17</v>
      </c>
      <c r="I470" s="4">
        <v>28.35</v>
      </c>
      <c r="J470" s="4" t="s">
        <v>13</v>
      </c>
      <c r="K470" s="4" t="s">
        <v>18</v>
      </c>
      <c r="L470" t="s">
        <v>877</v>
      </c>
      <c r="M470" s="9">
        <f t="shared" si="48"/>
        <v>35.439478829999999</v>
      </c>
      <c r="N470">
        <v>0</v>
      </c>
      <c r="O470" s="9">
        <v>0</v>
      </c>
      <c r="P470" s="9">
        <f t="shared" si="49"/>
        <v>-35.439478829999999</v>
      </c>
      <c r="Q470" s="16">
        <f t="shared" si="44"/>
        <v>35.439478829999999</v>
      </c>
    </row>
    <row r="471" spans="1:17" x14ac:dyDescent="0.25">
      <c r="A471" s="3" t="s">
        <v>879</v>
      </c>
      <c r="B471" s="4" t="s">
        <v>880</v>
      </c>
      <c r="C471" s="12">
        <v>45.42</v>
      </c>
      <c r="D471" s="4" t="s">
        <v>13</v>
      </c>
      <c r="E471" s="4" t="s">
        <v>14</v>
      </c>
      <c r="F471" s="4" t="s">
        <v>33</v>
      </c>
      <c r="G471" s="4" t="s">
        <v>34</v>
      </c>
      <c r="H471" s="4" t="s">
        <v>115</v>
      </c>
      <c r="I471" s="4">
        <v>44.1</v>
      </c>
      <c r="J471" s="4" t="s">
        <v>13</v>
      </c>
      <c r="K471" s="4" t="s">
        <v>18</v>
      </c>
      <c r="L471" t="s">
        <v>879</v>
      </c>
      <c r="M471" s="9">
        <f t="shared" si="48"/>
        <v>55.124437200000003</v>
      </c>
      <c r="N471" t="s">
        <v>879</v>
      </c>
      <c r="O471" s="9">
        <v>55.125599999999999</v>
      </c>
      <c r="P471" s="9">
        <f t="shared" si="49"/>
        <v>1.1627999999959115E-3</v>
      </c>
      <c r="Q471" s="16">
        <f t="shared" si="44"/>
        <v>55.124437200000003</v>
      </c>
    </row>
    <row r="472" spans="1:17" x14ac:dyDescent="0.25">
      <c r="A472" s="3" t="s">
        <v>881</v>
      </c>
      <c r="B472" s="4" t="s">
        <v>882</v>
      </c>
      <c r="C472" s="12">
        <v>90.85</v>
      </c>
      <c r="D472" s="4" t="s">
        <v>13</v>
      </c>
      <c r="E472" s="4" t="s">
        <v>14</v>
      </c>
      <c r="F472" s="4" t="s">
        <v>33</v>
      </c>
      <c r="G472" s="4" t="s">
        <v>34</v>
      </c>
      <c r="H472" s="4" t="s">
        <v>115</v>
      </c>
      <c r="I472" s="4">
        <v>88.2</v>
      </c>
      <c r="J472" s="4" t="s">
        <v>13</v>
      </c>
      <c r="K472" s="4" t="s">
        <v>18</v>
      </c>
      <c r="L472" t="s">
        <v>881</v>
      </c>
      <c r="M472" s="9">
        <f t="shared" si="48"/>
        <v>110.261011</v>
      </c>
      <c r="N472">
        <v>0</v>
      </c>
      <c r="O472" s="9">
        <v>0</v>
      </c>
      <c r="P472" s="9">
        <f t="shared" si="49"/>
        <v>-110.261011</v>
      </c>
      <c r="Q472" s="16">
        <f t="shared" si="44"/>
        <v>110.261011</v>
      </c>
    </row>
    <row r="473" spans="1:17" x14ac:dyDescent="0.25">
      <c r="A473" s="3" t="s">
        <v>883</v>
      </c>
      <c r="B473" s="4" t="s">
        <v>884</v>
      </c>
      <c r="C473" s="12">
        <v>640.79999999999995</v>
      </c>
      <c r="D473" s="4" t="s">
        <v>13</v>
      </c>
      <c r="E473" s="4" t="s">
        <v>14</v>
      </c>
      <c r="F473" s="4" t="s">
        <v>33</v>
      </c>
      <c r="G473" s="4" t="s">
        <v>34</v>
      </c>
      <c r="H473" s="4" t="s">
        <v>115</v>
      </c>
      <c r="I473" s="4">
        <v>622.13</v>
      </c>
      <c r="J473" s="4" t="s">
        <v>13</v>
      </c>
      <c r="K473" s="4" t="s">
        <v>18</v>
      </c>
      <c r="L473" t="s">
        <v>883</v>
      </c>
      <c r="M473" s="9">
        <f t="shared" si="48"/>
        <v>777.71332799999993</v>
      </c>
      <c r="N473" t="s">
        <v>883</v>
      </c>
      <c r="O473" s="9">
        <v>777.70150000000001</v>
      </c>
      <c r="P473" s="9">
        <f t="shared" si="49"/>
        <v>-1.1827999999923122E-2</v>
      </c>
      <c r="Q473" s="16">
        <f t="shared" si="44"/>
        <v>777.71332799999993</v>
      </c>
    </row>
    <row r="474" spans="1:17" x14ac:dyDescent="0.25">
      <c r="A474" s="3" t="s">
        <v>885</v>
      </c>
      <c r="B474" s="4" t="s">
        <v>886</v>
      </c>
      <c r="C474" s="12">
        <f>I474*3%+I474</f>
        <v>740.3125</v>
      </c>
      <c r="D474" s="4" t="s">
        <v>13</v>
      </c>
      <c r="E474" s="4" t="s">
        <v>14</v>
      </c>
      <c r="F474" s="4" t="s">
        <v>33</v>
      </c>
      <c r="G474" s="4" t="s">
        <v>34</v>
      </c>
      <c r="H474" s="4" t="s">
        <v>115</v>
      </c>
      <c r="I474" s="4">
        <v>718.75</v>
      </c>
      <c r="J474" s="4" t="s">
        <v>13</v>
      </c>
      <c r="K474" s="4" t="s">
        <v>18</v>
      </c>
      <c r="L474" t="s">
        <v>885</v>
      </c>
      <c r="M474" s="9">
        <f t="shared" si="48"/>
        <v>898.48766875000001</v>
      </c>
      <c r="N474" t="s">
        <v>885</v>
      </c>
      <c r="O474" s="9">
        <v>898.4896</v>
      </c>
      <c r="P474" s="9">
        <f t="shared" si="49"/>
        <v>1.9312499999841748E-3</v>
      </c>
      <c r="Q474" s="16">
        <f t="shared" ref="Q474:Q537" si="51">C474*1.21366</f>
        <v>898.48766875000001</v>
      </c>
    </row>
    <row r="475" spans="1:17" x14ac:dyDescent="0.25">
      <c r="A475" s="3" t="s">
        <v>887</v>
      </c>
      <c r="B475" s="4" t="s">
        <v>888</v>
      </c>
      <c r="C475" s="12">
        <v>118.965</v>
      </c>
      <c r="D475" s="4" t="s">
        <v>13</v>
      </c>
      <c r="E475" s="4" t="s">
        <v>14</v>
      </c>
      <c r="F475" s="4" t="s">
        <v>33</v>
      </c>
      <c r="G475" s="4" t="s">
        <v>34</v>
      </c>
      <c r="H475" s="4" t="s">
        <v>115</v>
      </c>
      <c r="I475" s="4">
        <v>115.5</v>
      </c>
      <c r="J475" s="4" t="s">
        <v>13</v>
      </c>
      <c r="K475" s="4" t="s">
        <v>18</v>
      </c>
      <c r="L475" t="s">
        <v>887</v>
      </c>
      <c r="M475" s="9">
        <f t="shared" si="48"/>
        <v>144.3830619</v>
      </c>
      <c r="N475">
        <v>0</v>
      </c>
      <c r="O475" s="9">
        <v>0</v>
      </c>
      <c r="P475" s="9">
        <f t="shared" si="49"/>
        <v>-144.3830619</v>
      </c>
      <c r="Q475" s="16">
        <f t="shared" si="51"/>
        <v>144.3830619</v>
      </c>
    </row>
    <row r="476" spans="1:17" x14ac:dyDescent="0.25">
      <c r="A476" s="3" t="s">
        <v>889</v>
      </c>
      <c r="B476" s="4" t="s">
        <v>890</v>
      </c>
      <c r="C476" s="12">
        <v>746.23500000000001</v>
      </c>
      <c r="D476" s="4" t="s">
        <v>13</v>
      </c>
      <c r="E476" s="4" t="s">
        <v>14</v>
      </c>
      <c r="F476" s="4" t="s">
        <v>33</v>
      </c>
      <c r="G476" s="4" t="s">
        <v>34</v>
      </c>
      <c r="H476" s="4" t="s">
        <v>115</v>
      </c>
      <c r="I476" s="4">
        <v>724.5</v>
      </c>
      <c r="J476" s="4" t="s">
        <v>13</v>
      </c>
      <c r="K476" s="4" t="s">
        <v>18</v>
      </c>
      <c r="L476" t="s">
        <v>889</v>
      </c>
      <c r="M476" s="9">
        <f t="shared" si="48"/>
        <v>905.67557009999996</v>
      </c>
      <c r="N476" t="s">
        <v>889</v>
      </c>
      <c r="O476" s="9">
        <v>905.67899999999997</v>
      </c>
      <c r="P476" s="9">
        <f t="shared" si="49"/>
        <v>3.4299000000146407E-3</v>
      </c>
      <c r="Q476" s="16">
        <f t="shared" si="51"/>
        <v>905.67557009999996</v>
      </c>
    </row>
    <row r="477" spans="1:17" x14ac:dyDescent="0.25">
      <c r="A477" s="3" t="s">
        <v>891</v>
      </c>
      <c r="B477" s="4" t="s">
        <v>892</v>
      </c>
      <c r="C477" s="12">
        <v>324.45</v>
      </c>
      <c r="D477" s="4" t="s">
        <v>13</v>
      </c>
      <c r="E477" s="4" t="s">
        <v>14</v>
      </c>
      <c r="F477" s="4" t="s">
        <v>33</v>
      </c>
      <c r="G477" s="4" t="s">
        <v>34</v>
      </c>
      <c r="H477" s="4" t="s">
        <v>115</v>
      </c>
      <c r="I477" s="4">
        <v>315</v>
      </c>
      <c r="J477" s="4" t="s">
        <v>13</v>
      </c>
      <c r="K477" s="4" t="s">
        <v>18</v>
      </c>
      <c r="L477" t="s">
        <v>891</v>
      </c>
      <c r="M477" s="9">
        <f t="shared" si="48"/>
        <v>393.77198699999997</v>
      </c>
      <c r="N477">
        <v>0</v>
      </c>
      <c r="O477" s="9">
        <v>0</v>
      </c>
      <c r="P477" s="9">
        <f t="shared" si="49"/>
        <v>-393.77198699999997</v>
      </c>
      <c r="Q477" s="16">
        <f t="shared" si="51"/>
        <v>393.77198699999997</v>
      </c>
    </row>
    <row r="478" spans="1:17" x14ac:dyDescent="0.25">
      <c r="A478" s="3" t="s">
        <v>893</v>
      </c>
      <c r="B478" s="4" t="s">
        <v>894</v>
      </c>
      <c r="C478" s="12">
        <v>90.125</v>
      </c>
      <c r="D478" s="4" t="s">
        <v>13</v>
      </c>
      <c r="E478" s="4" t="s">
        <v>14</v>
      </c>
      <c r="F478" s="4" t="s">
        <v>33</v>
      </c>
      <c r="G478" s="4" t="s">
        <v>34</v>
      </c>
      <c r="H478" s="4" t="s">
        <v>115</v>
      </c>
      <c r="I478" s="4">
        <v>87.5</v>
      </c>
      <c r="J478" s="4" t="s">
        <v>13</v>
      </c>
      <c r="K478" s="4" t="s">
        <v>18</v>
      </c>
      <c r="L478" t="s">
        <v>893</v>
      </c>
      <c r="M478" s="9">
        <f t="shared" si="48"/>
        <v>109.3811075</v>
      </c>
      <c r="N478" t="s">
        <v>893</v>
      </c>
      <c r="O478" s="9">
        <v>109.386</v>
      </c>
      <c r="P478" s="9">
        <f t="shared" si="49"/>
        <v>4.8924999999968577E-3</v>
      </c>
      <c r="Q478" s="16">
        <f t="shared" si="51"/>
        <v>109.3811075</v>
      </c>
    </row>
    <row r="479" spans="1:17" x14ac:dyDescent="0.25">
      <c r="A479" s="3" t="s">
        <v>895</v>
      </c>
      <c r="B479" s="4" t="s">
        <v>896</v>
      </c>
      <c r="C479" s="12">
        <v>356.89499999999998</v>
      </c>
      <c r="D479" s="4" t="s">
        <v>13</v>
      </c>
      <c r="E479" s="4" t="s">
        <v>14</v>
      </c>
      <c r="F479" s="4" t="s">
        <v>33</v>
      </c>
      <c r="G479" s="4" t="s">
        <v>34</v>
      </c>
      <c r="H479" s="4" t="s">
        <v>115</v>
      </c>
      <c r="I479" s="4">
        <v>346.5</v>
      </c>
      <c r="J479" s="4" t="s">
        <v>13</v>
      </c>
      <c r="K479" s="4" t="s">
        <v>18</v>
      </c>
      <c r="L479" t="s">
        <v>895</v>
      </c>
      <c r="M479" s="9">
        <f t="shared" si="48"/>
        <v>433.14918569999998</v>
      </c>
      <c r="N479">
        <v>0</v>
      </c>
      <c r="O479" s="9">
        <v>0</v>
      </c>
      <c r="P479" s="9">
        <f t="shared" si="49"/>
        <v>-433.14918569999998</v>
      </c>
      <c r="Q479" s="16">
        <f t="shared" si="51"/>
        <v>433.14918569999998</v>
      </c>
    </row>
    <row r="480" spans="1:17" x14ac:dyDescent="0.25">
      <c r="A480" s="3" t="s">
        <v>897</v>
      </c>
      <c r="B480" s="4" t="s">
        <v>898</v>
      </c>
      <c r="C480" s="12">
        <v>60</v>
      </c>
      <c r="D480" s="4" t="s">
        <v>111</v>
      </c>
      <c r="E480" s="4" t="s">
        <v>14</v>
      </c>
      <c r="F480" s="4" t="s">
        <v>33</v>
      </c>
      <c r="G480" s="4" t="s">
        <v>34</v>
      </c>
      <c r="H480" s="4" t="s">
        <v>564</v>
      </c>
      <c r="I480" s="4">
        <v>63</v>
      </c>
      <c r="J480" s="4" t="s">
        <v>111</v>
      </c>
      <c r="K480" s="4" t="s">
        <v>18</v>
      </c>
      <c r="L480" t="s">
        <v>897</v>
      </c>
      <c r="M480" s="9">
        <f t="shared" si="48"/>
        <v>72.819599999999994</v>
      </c>
      <c r="N480" t="s">
        <v>897</v>
      </c>
      <c r="O480" s="9">
        <v>78.753799999999998</v>
      </c>
      <c r="P480" s="9">
        <f t="shared" si="49"/>
        <v>5.9342000000000041</v>
      </c>
      <c r="Q480" s="16">
        <f t="shared" si="51"/>
        <v>72.819599999999994</v>
      </c>
    </row>
    <row r="481" spans="1:17" x14ac:dyDescent="0.25">
      <c r="A481" s="3" t="s">
        <v>899</v>
      </c>
      <c r="B481" s="4" t="s">
        <v>900</v>
      </c>
      <c r="C481" s="12">
        <v>268</v>
      </c>
      <c r="D481" s="4" t="s">
        <v>191</v>
      </c>
      <c r="E481" s="4" t="s">
        <v>14</v>
      </c>
      <c r="F481" s="4" t="s">
        <v>33</v>
      </c>
      <c r="G481" s="4" t="s">
        <v>34</v>
      </c>
      <c r="H481" s="4" t="s">
        <v>564</v>
      </c>
      <c r="I481" s="4">
        <v>278.25</v>
      </c>
      <c r="J481" s="4" t="s">
        <v>191</v>
      </c>
      <c r="K481" s="4" t="s">
        <v>18</v>
      </c>
      <c r="L481" t="s">
        <v>899</v>
      </c>
      <c r="M481" s="9">
        <f t="shared" si="48"/>
        <v>325.26087999999999</v>
      </c>
      <c r="N481" t="s">
        <v>899</v>
      </c>
      <c r="O481" s="9">
        <v>347.83100000000002</v>
      </c>
      <c r="P481" s="9">
        <f t="shared" si="49"/>
        <v>22.570120000000031</v>
      </c>
      <c r="Q481" s="16">
        <f t="shared" si="51"/>
        <v>325.26087999999999</v>
      </c>
    </row>
    <row r="482" spans="1:17" x14ac:dyDescent="0.25">
      <c r="A482" s="3" t="s">
        <v>901</v>
      </c>
      <c r="B482" s="4" t="s">
        <v>902</v>
      </c>
      <c r="C482" s="12">
        <v>278</v>
      </c>
      <c r="D482" s="4" t="s">
        <v>191</v>
      </c>
      <c r="E482" s="4" t="s">
        <v>14</v>
      </c>
      <c r="F482" s="4" t="s">
        <v>33</v>
      </c>
      <c r="G482" s="4" t="s">
        <v>34</v>
      </c>
      <c r="H482" s="4" t="s">
        <v>564</v>
      </c>
      <c r="I482" s="4">
        <v>262.5</v>
      </c>
      <c r="J482" s="4" t="s">
        <v>191</v>
      </c>
      <c r="K482" s="4" t="s">
        <v>18</v>
      </c>
      <c r="L482" t="s">
        <v>901</v>
      </c>
      <c r="M482" s="9">
        <f t="shared" si="48"/>
        <v>337.39747999999997</v>
      </c>
      <c r="N482" t="s">
        <v>901</v>
      </c>
      <c r="O482" s="9">
        <v>328.14769999999999</v>
      </c>
      <c r="P482" s="9">
        <f t="shared" si="49"/>
        <v>-9.249779999999987</v>
      </c>
      <c r="Q482" s="16">
        <f t="shared" si="51"/>
        <v>337.39747999999997</v>
      </c>
    </row>
    <row r="483" spans="1:17" x14ac:dyDescent="0.25">
      <c r="A483" s="3" t="s">
        <v>903</v>
      </c>
      <c r="B483" s="4" t="s">
        <v>904</v>
      </c>
      <c r="C483" s="12">
        <v>205.49</v>
      </c>
      <c r="D483" s="4" t="s">
        <v>191</v>
      </c>
      <c r="E483" s="4" t="s">
        <v>14</v>
      </c>
      <c r="F483" s="4" t="s">
        <v>33</v>
      </c>
      <c r="G483" s="4" t="s">
        <v>34</v>
      </c>
      <c r="H483" s="4" t="s">
        <v>564</v>
      </c>
      <c r="I483" s="4">
        <v>199.5</v>
      </c>
      <c r="J483" s="4" t="s">
        <v>191</v>
      </c>
      <c r="K483" s="4" t="s">
        <v>18</v>
      </c>
      <c r="L483" t="s">
        <v>903</v>
      </c>
      <c r="M483" s="9">
        <f t="shared" si="48"/>
        <v>249.3949934</v>
      </c>
      <c r="N483">
        <v>0</v>
      </c>
      <c r="O483" s="9">
        <v>0</v>
      </c>
      <c r="P483" s="9">
        <f t="shared" si="49"/>
        <v>-249.3949934</v>
      </c>
      <c r="Q483" s="16">
        <f t="shared" si="51"/>
        <v>249.3949934</v>
      </c>
    </row>
    <row r="484" spans="1:17" x14ac:dyDescent="0.25">
      <c r="A484" s="3" t="s">
        <v>905</v>
      </c>
      <c r="B484" s="4" t="s">
        <v>906</v>
      </c>
      <c r="C484" s="12">
        <v>40</v>
      </c>
      <c r="D484" s="4" t="s">
        <v>32</v>
      </c>
      <c r="E484" s="4" t="s">
        <v>14</v>
      </c>
      <c r="F484" s="4" t="s">
        <v>33</v>
      </c>
      <c r="G484" s="4" t="s">
        <v>34</v>
      </c>
      <c r="H484" s="4" t="s">
        <v>265</v>
      </c>
      <c r="I484" s="4">
        <v>45.51</v>
      </c>
      <c r="J484" s="4" t="s">
        <v>32</v>
      </c>
      <c r="K484" s="4" t="s">
        <v>18</v>
      </c>
      <c r="L484" t="s">
        <v>905</v>
      </c>
      <c r="M484" s="9">
        <f t="shared" si="48"/>
        <v>48.546399999999998</v>
      </c>
      <c r="N484">
        <v>0</v>
      </c>
      <c r="O484" s="9">
        <v>0</v>
      </c>
      <c r="P484" s="9">
        <f t="shared" si="49"/>
        <v>-48.546399999999998</v>
      </c>
      <c r="Q484" s="16">
        <f t="shared" si="51"/>
        <v>48.546399999999998</v>
      </c>
    </row>
    <row r="485" spans="1:17" x14ac:dyDescent="0.25">
      <c r="A485" s="3" t="s">
        <v>907</v>
      </c>
      <c r="B485" s="4" t="s">
        <v>908</v>
      </c>
      <c r="C485" s="12">
        <v>48</v>
      </c>
      <c r="D485" s="4" t="s">
        <v>111</v>
      </c>
      <c r="E485" s="4" t="s">
        <v>14</v>
      </c>
      <c r="F485" s="4" t="s">
        <v>33</v>
      </c>
      <c r="G485" s="4" t="s">
        <v>34</v>
      </c>
      <c r="H485" s="4" t="s">
        <v>265</v>
      </c>
      <c r="I485" s="4">
        <v>49.88</v>
      </c>
      <c r="J485" s="4" t="s">
        <v>111</v>
      </c>
      <c r="K485" s="4" t="s">
        <v>18</v>
      </c>
      <c r="L485" t="s">
        <v>907</v>
      </c>
      <c r="M485" s="9">
        <f t="shared" si="48"/>
        <v>58.255679999999998</v>
      </c>
      <c r="N485" t="s">
        <v>907</v>
      </c>
      <c r="O485" s="9">
        <v>62.356200000000001</v>
      </c>
      <c r="P485" s="9">
        <f t="shared" si="49"/>
        <v>4.1005200000000031</v>
      </c>
      <c r="Q485" s="16">
        <f t="shared" si="51"/>
        <v>58.255679999999998</v>
      </c>
    </row>
    <row r="486" spans="1:17" x14ac:dyDescent="0.25">
      <c r="A486" s="3" t="s">
        <v>909</v>
      </c>
      <c r="B486" s="4" t="s">
        <v>910</v>
      </c>
      <c r="C486" s="12">
        <f>I486*3%+I486</f>
        <v>102.74250000000001</v>
      </c>
      <c r="D486" s="4" t="s">
        <v>191</v>
      </c>
      <c r="E486" s="4" t="s">
        <v>14</v>
      </c>
      <c r="F486" s="4" t="s">
        <v>33</v>
      </c>
      <c r="G486" s="4" t="s">
        <v>34</v>
      </c>
      <c r="H486" s="4" t="s">
        <v>35</v>
      </c>
      <c r="I486" s="4">
        <v>99.75</v>
      </c>
      <c r="J486" s="4" t="s">
        <v>191</v>
      </c>
      <c r="K486" s="4" t="s">
        <v>18</v>
      </c>
      <c r="L486" t="s">
        <v>909</v>
      </c>
      <c r="M486" s="9">
        <f t="shared" si="48"/>
        <v>124.69446255</v>
      </c>
      <c r="N486">
        <v>0</v>
      </c>
      <c r="O486" s="9">
        <v>0</v>
      </c>
      <c r="P486" s="9">
        <f t="shared" si="49"/>
        <v>-124.69446255</v>
      </c>
      <c r="Q486" s="16">
        <f t="shared" si="51"/>
        <v>124.69446255</v>
      </c>
    </row>
    <row r="487" spans="1:17" x14ac:dyDescent="0.25">
      <c r="A487" s="3" t="s">
        <v>911</v>
      </c>
      <c r="B487" s="4" t="s">
        <v>912</v>
      </c>
      <c r="C487" s="12">
        <v>42</v>
      </c>
      <c r="D487" s="4" t="s">
        <v>111</v>
      </c>
      <c r="E487" s="4" t="s">
        <v>14</v>
      </c>
      <c r="F487" s="4" t="s">
        <v>33</v>
      </c>
      <c r="G487" s="4" t="s">
        <v>34</v>
      </c>
      <c r="H487" s="4" t="s">
        <v>489</v>
      </c>
      <c r="I487" s="4">
        <v>50.62</v>
      </c>
      <c r="J487" s="4" t="s">
        <v>111</v>
      </c>
      <c r="K487" s="4" t="s">
        <v>18</v>
      </c>
      <c r="L487" t="s">
        <v>911</v>
      </c>
      <c r="M487" s="9">
        <f t="shared" si="48"/>
        <v>50.97372</v>
      </c>
      <c r="N487" t="s">
        <v>911</v>
      </c>
      <c r="O487" s="9">
        <v>63.283200000000001</v>
      </c>
      <c r="P487" s="9">
        <f t="shared" si="49"/>
        <v>12.309480000000001</v>
      </c>
      <c r="Q487" s="16">
        <f t="shared" si="51"/>
        <v>50.97372</v>
      </c>
    </row>
    <row r="488" spans="1:17" x14ac:dyDescent="0.25">
      <c r="A488" s="3" t="s">
        <v>913</v>
      </c>
      <c r="B488" s="4" t="s">
        <v>914</v>
      </c>
      <c r="C488" s="12">
        <v>42</v>
      </c>
      <c r="D488" s="4" t="s">
        <v>111</v>
      </c>
      <c r="E488" s="4" t="s">
        <v>14</v>
      </c>
      <c r="F488" s="4" t="s">
        <v>33</v>
      </c>
      <c r="G488" s="4" t="s">
        <v>34</v>
      </c>
      <c r="H488" s="4" t="s">
        <v>489</v>
      </c>
      <c r="I488" s="4">
        <v>50.62</v>
      </c>
      <c r="J488" s="4" t="s">
        <v>111</v>
      </c>
      <c r="K488" s="4" t="s">
        <v>18</v>
      </c>
      <c r="L488" t="s">
        <v>913</v>
      </c>
      <c r="M488" s="9">
        <f t="shared" si="48"/>
        <v>50.97372</v>
      </c>
      <c r="N488" t="s">
        <v>913</v>
      </c>
      <c r="O488" s="9">
        <v>63.283200000000001</v>
      </c>
      <c r="P488" s="9">
        <f t="shared" si="49"/>
        <v>12.309480000000001</v>
      </c>
      <c r="Q488" s="16">
        <f t="shared" si="51"/>
        <v>50.97372</v>
      </c>
    </row>
    <row r="489" spans="1:17" x14ac:dyDescent="0.25">
      <c r="A489" s="3" t="s">
        <v>915</v>
      </c>
      <c r="B489" s="4" t="s">
        <v>916</v>
      </c>
      <c r="C489" s="12">
        <f>I489*3%+I489</f>
        <v>449.68769999999995</v>
      </c>
      <c r="D489" s="4" t="s">
        <v>13</v>
      </c>
      <c r="E489" s="4" t="s">
        <v>23</v>
      </c>
      <c r="F489" s="4" t="s">
        <v>49</v>
      </c>
      <c r="G489" s="4" t="s">
        <v>50</v>
      </c>
      <c r="H489" s="4" t="s">
        <v>50</v>
      </c>
      <c r="I489" s="4">
        <v>436.59</v>
      </c>
      <c r="J489" s="4" t="s">
        <v>13</v>
      </c>
      <c r="K489" s="4" t="s">
        <v>18</v>
      </c>
      <c r="L489" t="s">
        <v>915</v>
      </c>
      <c r="M489" s="9">
        <f t="shared" si="48"/>
        <v>545.76797398199994</v>
      </c>
      <c r="N489">
        <v>0</v>
      </c>
      <c r="O489" s="9">
        <v>0</v>
      </c>
      <c r="P489" s="9">
        <f t="shared" si="49"/>
        <v>-545.76797398199994</v>
      </c>
      <c r="Q489" s="16">
        <f t="shared" si="51"/>
        <v>545.76797398199994</v>
      </c>
    </row>
    <row r="490" spans="1:17" x14ac:dyDescent="0.25">
      <c r="A490" s="3" t="s">
        <v>917</v>
      </c>
      <c r="B490" s="4" t="s">
        <v>918</v>
      </c>
      <c r="C490" s="12">
        <f t="shared" ref="C490:C505" si="52">I490*3%+I490</f>
        <v>42.302100000000003</v>
      </c>
      <c r="D490" s="4" t="s">
        <v>111</v>
      </c>
      <c r="E490" s="4" t="s">
        <v>14</v>
      </c>
      <c r="F490" s="4" t="s">
        <v>131</v>
      </c>
      <c r="G490" s="4" t="s">
        <v>132</v>
      </c>
      <c r="H490" s="4" t="s">
        <v>594</v>
      </c>
      <c r="I490" s="4">
        <v>41.07</v>
      </c>
      <c r="J490" s="4" t="s">
        <v>111</v>
      </c>
      <c r="K490" s="4" t="s">
        <v>18</v>
      </c>
      <c r="L490" t="s">
        <v>917</v>
      </c>
      <c r="M490" s="9">
        <f t="shared" si="48"/>
        <v>51.340366686000003</v>
      </c>
      <c r="N490">
        <v>0</v>
      </c>
      <c r="O490" s="9">
        <v>0</v>
      </c>
      <c r="P490" s="9">
        <f t="shared" si="49"/>
        <v>-51.340366686000003</v>
      </c>
      <c r="Q490" s="16">
        <f t="shared" si="51"/>
        <v>51.340366686000003</v>
      </c>
    </row>
    <row r="491" spans="1:17" x14ac:dyDescent="0.25">
      <c r="A491" s="3" t="s">
        <v>919</v>
      </c>
      <c r="B491" s="4" t="s">
        <v>920</v>
      </c>
      <c r="C491" s="12">
        <f t="shared" si="52"/>
        <v>25.6676</v>
      </c>
      <c r="D491" s="4" t="s">
        <v>111</v>
      </c>
      <c r="E491" s="4" t="s">
        <v>14</v>
      </c>
      <c r="F491" s="4" t="s">
        <v>44</v>
      </c>
      <c r="G491" s="4" t="s">
        <v>45</v>
      </c>
      <c r="H491" s="4" t="s">
        <v>46</v>
      </c>
      <c r="I491" s="4">
        <v>24.92</v>
      </c>
      <c r="J491" s="4" t="s">
        <v>111</v>
      </c>
      <c r="K491" s="4" t="s">
        <v>18</v>
      </c>
      <c r="L491" t="s">
        <v>919</v>
      </c>
      <c r="M491" s="9">
        <f t="shared" si="48"/>
        <v>31.151739415999998</v>
      </c>
      <c r="N491">
        <v>0</v>
      </c>
      <c r="O491" s="9">
        <v>0</v>
      </c>
      <c r="P491" s="9">
        <f t="shared" si="49"/>
        <v>-31.151739415999998</v>
      </c>
      <c r="Q491" s="16">
        <f t="shared" si="51"/>
        <v>31.151739415999998</v>
      </c>
    </row>
    <row r="492" spans="1:17" x14ac:dyDescent="0.25">
      <c r="A492" s="3" t="s">
        <v>921</v>
      </c>
      <c r="B492" s="4" t="s">
        <v>922</v>
      </c>
      <c r="C492" s="12">
        <f t="shared" si="52"/>
        <v>2.0394000000000001</v>
      </c>
      <c r="D492" s="4" t="s">
        <v>13</v>
      </c>
      <c r="E492" s="4" t="s">
        <v>14</v>
      </c>
      <c r="F492" s="4" t="s">
        <v>44</v>
      </c>
      <c r="G492" s="4" t="s">
        <v>45</v>
      </c>
      <c r="H492" s="4" t="s">
        <v>46</v>
      </c>
      <c r="I492" s="4">
        <v>1.98</v>
      </c>
      <c r="J492" s="4" t="s">
        <v>13</v>
      </c>
      <c r="K492" s="4" t="s">
        <v>18</v>
      </c>
      <c r="L492" t="s">
        <v>921</v>
      </c>
      <c r="M492" s="9">
        <f t="shared" si="48"/>
        <v>2.4751382039999998</v>
      </c>
      <c r="N492">
        <v>0</v>
      </c>
      <c r="O492" s="9">
        <v>0</v>
      </c>
      <c r="P492" s="9">
        <f t="shared" si="49"/>
        <v>-2.4751382039999998</v>
      </c>
      <c r="Q492" s="16">
        <f t="shared" si="51"/>
        <v>2.4751382039999998</v>
      </c>
    </row>
    <row r="493" spans="1:17" x14ac:dyDescent="0.25">
      <c r="A493" s="3" t="s">
        <v>923</v>
      </c>
      <c r="B493" s="4" t="s">
        <v>924</v>
      </c>
      <c r="C493" s="12">
        <f t="shared" si="52"/>
        <v>23.414475000000003</v>
      </c>
      <c r="D493" s="4" t="s">
        <v>124</v>
      </c>
      <c r="E493" s="4" t="s">
        <v>14</v>
      </c>
      <c r="F493" s="4" t="s">
        <v>44</v>
      </c>
      <c r="G493" s="4" t="s">
        <v>45</v>
      </c>
      <c r="H493" s="4" t="s">
        <v>46</v>
      </c>
      <c r="I493" s="4">
        <v>22.732500000000002</v>
      </c>
      <c r="J493" s="4" t="s">
        <v>124</v>
      </c>
      <c r="K493" s="4" t="s">
        <v>18</v>
      </c>
      <c r="L493" t="s">
        <v>923</v>
      </c>
      <c r="M493" s="9">
        <f t="shared" si="48"/>
        <v>28.417211728500003</v>
      </c>
      <c r="N493">
        <v>0</v>
      </c>
      <c r="O493" s="9">
        <v>0</v>
      </c>
      <c r="P493" s="9">
        <f t="shared" si="49"/>
        <v>-28.417211728500003</v>
      </c>
      <c r="Q493" s="16">
        <f t="shared" si="51"/>
        <v>28.417211728500003</v>
      </c>
    </row>
    <row r="494" spans="1:17" x14ac:dyDescent="0.25">
      <c r="A494" s="3" t="s">
        <v>925</v>
      </c>
      <c r="B494" s="4" t="s">
        <v>926</v>
      </c>
      <c r="C494" s="12">
        <f t="shared" si="52"/>
        <v>29.121704999999999</v>
      </c>
      <c r="D494" s="4" t="s">
        <v>124</v>
      </c>
      <c r="E494" s="4" t="s">
        <v>14</v>
      </c>
      <c r="F494" s="4" t="s">
        <v>44</v>
      </c>
      <c r="G494" s="4" t="s">
        <v>45</v>
      </c>
      <c r="H494" s="4" t="s">
        <v>46</v>
      </c>
      <c r="I494" s="4">
        <v>28.273499999999999</v>
      </c>
      <c r="J494" s="4" t="s">
        <v>124</v>
      </c>
      <c r="K494" s="4" t="s">
        <v>18</v>
      </c>
      <c r="L494" t="s">
        <v>925</v>
      </c>
      <c r="M494" s="9">
        <f t="shared" si="48"/>
        <v>35.343848490299997</v>
      </c>
      <c r="N494">
        <v>0</v>
      </c>
      <c r="O494" s="9">
        <v>0</v>
      </c>
      <c r="P494" s="9">
        <f t="shared" si="49"/>
        <v>-35.343848490299997</v>
      </c>
      <c r="Q494" s="16">
        <f t="shared" si="51"/>
        <v>35.343848490299997</v>
      </c>
    </row>
    <row r="495" spans="1:17" x14ac:dyDescent="0.25">
      <c r="A495" s="3" t="s">
        <v>927</v>
      </c>
      <c r="B495" s="4" t="s">
        <v>928</v>
      </c>
      <c r="C495" s="12">
        <f t="shared" si="52"/>
        <v>79.660200000000003</v>
      </c>
      <c r="D495" s="4" t="s">
        <v>32</v>
      </c>
      <c r="E495" s="4" t="s">
        <v>14</v>
      </c>
      <c r="F495" s="4" t="s">
        <v>44</v>
      </c>
      <c r="G495" s="4" t="s">
        <v>45</v>
      </c>
      <c r="H495" s="4" t="s">
        <v>46</v>
      </c>
      <c r="I495" s="4">
        <v>77.34</v>
      </c>
      <c r="J495" s="4" t="s">
        <v>32</v>
      </c>
      <c r="K495" s="4" t="s">
        <v>18</v>
      </c>
      <c r="L495" t="s">
        <v>927</v>
      </c>
      <c r="M495" s="9">
        <f t="shared" si="48"/>
        <v>96.680398331999996</v>
      </c>
      <c r="N495">
        <v>0</v>
      </c>
      <c r="O495" s="9">
        <v>0</v>
      </c>
      <c r="P495" s="9">
        <f t="shared" si="49"/>
        <v>-96.680398331999996</v>
      </c>
      <c r="Q495" s="16">
        <f t="shared" si="51"/>
        <v>96.680398331999996</v>
      </c>
    </row>
    <row r="496" spans="1:17" x14ac:dyDescent="0.25">
      <c r="A496" s="3" t="s">
        <v>929</v>
      </c>
      <c r="B496" s="4" t="s">
        <v>930</v>
      </c>
      <c r="C496" s="12">
        <f t="shared" si="52"/>
        <v>87.096800000000002</v>
      </c>
      <c r="D496" s="4" t="s">
        <v>32</v>
      </c>
      <c r="E496" s="4" t="s">
        <v>14</v>
      </c>
      <c r="F496" s="4" t="s">
        <v>44</v>
      </c>
      <c r="G496" s="4" t="s">
        <v>45</v>
      </c>
      <c r="H496" s="4" t="s">
        <v>46</v>
      </c>
      <c r="I496" s="4">
        <v>84.56</v>
      </c>
      <c r="J496" s="4" t="s">
        <v>32</v>
      </c>
      <c r="K496" s="4" t="s">
        <v>18</v>
      </c>
      <c r="L496" t="s">
        <v>929</v>
      </c>
      <c r="M496" s="9">
        <f t="shared" si="48"/>
        <v>105.705902288</v>
      </c>
      <c r="N496">
        <v>0</v>
      </c>
      <c r="O496" s="9">
        <v>0</v>
      </c>
      <c r="P496" s="9">
        <f t="shared" si="49"/>
        <v>-105.705902288</v>
      </c>
      <c r="Q496" s="16">
        <f t="shared" si="51"/>
        <v>105.705902288</v>
      </c>
    </row>
    <row r="497" spans="1:17" x14ac:dyDescent="0.25">
      <c r="A497" s="3" t="s">
        <v>931</v>
      </c>
      <c r="B497" s="4" t="s">
        <v>932</v>
      </c>
      <c r="C497" s="12">
        <f t="shared" si="52"/>
        <v>138.2157</v>
      </c>
      <c r="D497" s="4" t="s">
        <v>32</v>
      </c>
      <c r="E497" s="4" t="s">
        <v>14</v>
      </c>
      <c r="F497" s="4" t="s">
        <v>44</v>
      </c>
      <c r="G497" s="4" t="s">
        <v>45</v>
      </c>
      <c r="H497" s="4" t="s">
        <v>46</v>
      </c>
      <c r="I497" s="4">
        <v>134.19</v>
      </c>
      <c r="J497" s="4" t="s">
        <v>32</v>
      </c>
      <c r="K497" s="4" t="s">
        <v>18</v>
      </c>
      <c r="L497" t="s">
        <v>931</v>
      </c>
      <c r="M497" s="9">
        <f t="shared" si="48"/>
        <v>167.74686646199999</v>
      </c>
      <c r="N497" t="s">
        <v>931</v>
      </c>
      <c r="O497" s="9">
        <v>167.7458</v>
      </c>
      <c r="P497" s="9">
        <f t="shared" si="49"/>
        <v>-1.0664619999829483E-3</v>
      </c>
      <c r="Q497" s="16">
        <f t="shared" si="51"/>
        <v>167.74686646199999</v>
      </c>
    </row>
    <row r="498" spans="1:17" x14ac:dyDescent="0.25">
      <c r="A498" s="3" t="s">
        <v>933</v>
      </c>
      <c r="B498" s="4" t="s">
        <v>934</v>
      </c>
      <c r="C498" s="12">
        <f t="shared" si="52"/>
        <v>109.2418</v>
      </c>
      <c r="D498" s="4" t="s">
        <v>32</v>
      </c>
      <c r="E498" s="4" t="s">
        <v>14</v>
      </c>
      <c r="F498" s="4" t="s">
        <v>44</v>
      </c>
      <c r="G498" s="4" t="s">
        <v>45</v>
      </c>
      <c r="H498" s="4" t="s">
        <v>46</v>
      </c>
      <c r="I498" s="4">
        <v>106.06</v>
      </c>
      <c r="J498" s="4" t="s">
        <v>32</v>
      </c>
      <c r="K498" s="4" t="s">
        <v>18</v>
      </c>
      <c r="L498" t="s">
        <v>933</v>
      </c>
      <c r="M498" s="9">
        <f t="shared" si="48"/>
        <v>132.58240298799998</v>
      </c>
      <c r="N498" t="s">
        <v>933</v>
      </c>
      <c r="O498" s="9">
        <v>132.58160000000001</v>
      </c>
      <c r="P498" s="9">
        <f t="shared" si="49"/>
        <v>-8.0298799997535752E-4</v>
      </c>
      <c r="Q498" s="16">
        <f t="shared" si="51"/>
        <v>132.58240298799998</v>
      </c>
    </row>
    <row r="499" spans="1:17" x14ac:dyDescent="0.25">
      <c r="A499" s="3" t="s">
        <v>935</v>
      </c>
      <c r="B499" s="4" t="s">
        <v>936</v>
      </c>
      <c r="C499" s="12">
        <f t="shared" si="52"/>
        <v>125.27889999999999</v>
      </c>
      <c r="D499" s="4" t="s">
        <v>32</v>
      </c>
      <c r="E499" s="4" t="s">
        <v>14</v>
      </c>
      <c r="F499" s="4" t="s">
        <v>44</v>
      </c>
      <c r="G499" s="4" t="s">
        <v>45</v>
      </c>
      <c r="H499" s="4" t="s">
        <v>46</v>
      </c>
      <c r="I499" s="4">
        <v>121.63</v>
      </c>
      <c r="J499" s="4" t="s">
        <v>32</v>
      </c>
      <c r="K499" s="4" t="s">
        <v>18</v>
      </c>
      <c r="L499" t="s">
        <v>935</v>
      </c>
      <c r="M499" s="9">
        <f t="shared" si="48"/>
        <v>152.04598977399999</v>
      </c>
      <c r="N499" t="s">
        <v>935</v>
      </c>
      <c r="O499" s="9">
        <v>152.04859999999999</v>
      </c>
      <c r="P499" s="9">
        <f t="shared" si="49"/>
        <v>2.6102260000016031E-3</v>
      </c>
      <c r="Q499" s="16">
        <f t="shared" si="51"/>
        <v>152.04598977399999</v>
      </c>
    </row>
    <row r="500" spans="1:17" x14ac:dyDescent="0.25">
      <c r="A500" s="3" t="s">
        <v>937</v>
      </c>
      <c r="B500" s="4" t="s">
        <v>938</v>
      </c>
      <c r="C500" s="12">
        <f t="shared" si="52"/>
        <v>144.39570000000001</v>
      </c>
      <c r="D500" s="4" t="s">
        <v>32</v>
      </c>
      <c r="E500" s="4" t="s">
        <v>14</v>
      </c>
      <c r="F500" s="4" t="s">
        <v>44</v>
      </c>
      <c r="G500" s="4" t="s">
        <v>45</v>
      </c>
      <c r="H500" s="4" t="s">
        <v>46</v>
      </c>
      <c r="I500" s="4">
        <v>140.19</v>
      </c>
      <c r="J500" s="4" t="s">
        <v>32</v>
      </c>
      <c r="K500" s="4" t="s">
        <v>18</v>
      </c>
      <c r="L500" t="s">
        <v>937</v>
      </c>
      <c r="M500" s="9">
        <f t="shared" si="48"/>
        <v>175.24728526199999</v>
      </c>
      <c r="N500" t="s">
        <v>937</v>
      </c>
      <c r="O500" s="9">
        <v>175.24420000000001</v>
      </c>
      <c r="P500" s="9">
        <f t="shared" si="49"/>
        <v>-3.085261999984823E-3</v>
      </c>
      <c r="Q500" s="16">
        <f t="shared" si="51"/>
        <v>175.24728526199999</v>
      </c>
    </row>
    <row r="501" spans="1:17" x14ac:dyDescent="0.25">
      <c r="A501" s="3" t="s">
        <v>939</v>
      </c>
      <c r="B501" s="4" t="s">
        <v>940</v>
      </c>
      <c r="C501" s="12">
        <f t="shared" si="52"/>
        <v>140.13150000000002</v>
      </c>
      <c r="D501" s="4" t="s">
        <v>32</v>
      </c>
      <c r="E501" s="4" t="s">
        <v>14</v>
      </c>
      <c r="F501" s="4" t="s">
        <v>44</v>
      </c>
      <c r="G501" s="4" t="s">
        <v>45</v>
      </c>
      <c r="H501" s="4" t="s">
        <v>46</v>
      </c>
      <c r="I501" s="4">
        <v>136.05000000000001</v>
      </c>
      <c r="J501" s="4" t="s">
        <v>32</v>
      </c>
      <c r="K501" s="4" t="s">
        <v>18</v>
      </c>
      <c r="L501" t="s">
        <v>939</v>
      </c>
      <c r="M501" s="9">
        <f t="shared" si="48"/>
        <v>170.07199629000002</v>
      </c>
      <c r="N501" t="s">
        <v>939</v>
      </c>
      <c r="O501" s="9">
        <v>170.0736</v>
      </c>
      <c r="P501" s="9">
        <f t="shared" si="49"/>
        <v>1.6037099999834936E-3</v>
      </c>
      <c r="Q501" s="16">
        <f t="shared" si="51"/>
        <v>170.07199629000002</v>
      </c>
    </row>
    <row r="502" spans="1:17" x14ac:dyDescent="0.25">
      <c r="A502" s="3" t="s">
        <v>941</v>
      </c>
      <c r="B502" s="4" t="s">
        <v>942</v>
      </c>
      <c r="C502" s="12">
        <f t="shared" si="52"/>
        <v>203.322</v>
      </c>
      <c r="D502" s="4" t="s">
        <v>32</v>
      </c>
      <c r="E502" s="4" t="s">
        <v>14</v>
      </c>
      <c r="F502" s="4" t="s">
        <v>44</v>
      </c>
      <c r="G502" s="4" t="s">
        <v>45</v>
      </c>
      <c r="H502" s="4" t="s">
        <v>46</v>
      </c>
      <c r="I502" s="4">
        <v>197.4</v>
      </c>
      <c r="J502" s="4" t="s">
        <v>32</v>
      </c>
      <c r="K502" s="4" t="s">
        <v>18</v>
      </c>
      <c r="L502" t="s">
        <v>941</v>
      </c>
      <c r="M502" s="9">
        <f t="shared" si="48"/>
        <v>246.76377851999999</v>
      </c>
      <c r="N502" t="s">
        <v>941</v>
      </c>
      <c r="O502" s="9">
        <v>246.76740000000001</v>
      </c>
      <c r="P502" s="9">
        <f t="shared" si="49"/>
        <v>3.621480000020938E-3</v>
      </c>
      <c r="Q502" s="16">
        <f t="shared" si="51"/>
        <v>246.76377851999999</v>
      </c>
    </row>
    <row r="503" spans="1:17" x14ac:dyDescent="0.25">
      <c r="A503" s="3" t="s">
        <v>943</v>
      </c>
      <c r="B503" s="4" t="s">
        <v>944</v>
      </c>
      <c r="C503" s="12">
        <f t="shared" si="52"/>
        <v>164.697</v>
      </c>
      <c r="D503" s="4" t="s">
        <v>32</v>
      </c>
      <c r="E503" s="4" t="s">
        <v>14</v>
      </c>
      <c r="F503" s="4" t="s">
        <v>44</v>
      </c>
      <c r="G503" s="4" t="s">
        <v>45</v>
      </c>
      <c r="H503" s="4" t="s">
        <v>46</v>
      </c>
      <c r="I503" s="4">
        <v>159.9</v>
      </c>
      <c r="J503" s="4" t="s">
        <v>32</v>
      </c>
      <c r="K503" s="4" t="s">
        <v>18</v>
      </c>
      <c r="L503" t="s">
        <v>943</v>
      </c>
      <c r="M503" s="9">
        <f t="shared" si="48"/>
        <v>199.88616102</v>
      </c>
      <c r="N503" t="s">
        <v>943</v>
      </c>
      <c r="O503" s="9">
        <v>199.8818</v>
      </c>
      <c r="P503" s="9">
        <f t="shared" si="49"/>
        <v>-4.3610200000046007E-3</v>
      </c>
      <c r="Q503" s="16">
        <f t="shared" si="51"/>
        <v>199.88616102</v>
      </c>
    </row>
    <row r="504" spans="1:17" x14ac:dyDescent="0.25">
      <c r="A504" s="3" t="s">
        <v>945</v>
      </c>
      <c r="B504" s="4" t="s">
        <v>946</v>
      </c>
      <c r="C504" s="12">
        <f t="shared" si="52"/>
        <v>64.89</v>
      </c>
      <c r="D504" s="4" t="s">
        <v>242</v>
      </c>
      <c r="E504" s="4" t="s">
        <v>14</v>
      </c>
      <c r="F504" s="4" t="s">
        <v>44</v>
      </c>
      <c r="G504" s="4" t="s">
        <v>45</v>
      </c>
      <c r="H504" s="4" t="s">
        <v>46</v>
      </c>
      <c r="I504" s="4">
        <v>63</v>
      </c>
      <c r="J504" s="4" t="s">
        <v>242</v>
      </c>
      <c r="K504" s="4" t="s">
        <v>18</v>
      </c>
      <c r="L504" t="s">
        <v>945</v>
      </c>
      <c r="M504" s="9">
        <f t="shared" si="48"/>
        <v>78.754397400000002</v>
      </c>
      <c r="N504" t="s">
        <v>945</v>
      </c>
      <c r="O504" s="9">
        <v>78.753799999999998</v>
      </c>
      <c r="P504" s="9">
        <f t="shared" si="49"/>
        <v>-5.9740000000374494E-4</v>
      </c>
      <c r="Q504" s="16">
        <f t="shared" si="51"/>
        <v>78.754397400000002</v>
      </c>
    </row>
    <row r="505" spans="1:17" x14ac:dyDescent="0.25">
      <c r="A505" s="3" t="s">
        <v>947</v>
      </c>
      <c r="B505" s="4" t="s">
        <v>948</v>
      </c>
      <c r="C505" s="12">
        <f t="shared" si="52"/>
        <v>178.44749999999999</v>
      </c>
      <c r="D505" s="4" t="s">
        <v>242</v>
      </c>
      <c r="E505" s="4" t="s">
        <v>14</v>
      </c>
      <c r="F505" s="4" t="s">
        <v>33</v>
      </c>
      <c r="G505" s="4" t="s">
        <v>34</v>
      </c>
      <c r="H505" s="4" t="s">
        <v>949</v>
      </c>
      <c r="I505" s="4">
        <v>173.25</v>
      </c>
      <c r="J505" s="4" t="s">
        <v>242</v>
      </c>
      <c r="K505" s="4" t="s">
        <v>18</v>
      </c>
      <c r="L505" t="s">
        <v>947</v>
      </c>
      <c r="M505" s="9">
        <f t="shared" si="48"/>
        <v>216.57459284999999</v>
      </c>
      <c r="N505" t="s">
        <v>947</v>
      </c>
      <c r="O505" s="9">
        <v>216.57810000000001</v>
      </c>
      <c r="P505" s="9">
        <f t="shared" si="49"/>
        <v>3.5071500000185551E-3</v>
      </c>
      <c r="Q505" s="16">
        <f t="shared" si="51"/>
        <v>216.57459284999999</v>
      </c>
    </row>
    <row r="506" spans="1:17" x14ac:dyDescent="0.25">
      <c r="A506" s="3" t="s">
        <v>950</v>
      </c>
      <c r="B506" s="4" t="s">
        <v>951</v>
      </c>
      <c r="C506" s="12">
        <v>2.7</v>
      </c>
      <c r="D506" s="4" t="s">
        <v>13</v>
      </c>
      <c r="E506" s="4" t="s">
        <v>14</v>
      </c>
      <c r="F506" s="4" t="s">
        <v>33</v>
      </c>
      <c r="G506" s="4" t="s">
        <v>34</v>
      </c>
      <c r="H506" s="4" t="s">
        <v>392</v>
      </c>
      <c r="I506" s="4">
        <v>2.63</v>
      </c>
      <c r="J506" s="4" t="s">
        <v>13</v>
      </c>
      <c r="K506" s="4" t="s">
        <v>18</v>
      </c>
      <c r="L506" t="s">
        <v>950</v>
      </c>
      <c r="M506" s="9">
        <f t="shared" si="48"/>
        <v>3.2768820000000001</v>
      </c>
      <c r="N506">
        <v>0</v>
      </c>
      <c r="O506" s="9">
        <v>0</v>
      </c>
      <c r="P506" s="9">
        <f t="shared" si="49"/>
        <v>-3.2768820000000001</v>
      </c>
      <c r="Q506" s="16">
        <f t="shared" si="51"/>
        <v>3.2768820000000001</v>
      </c>
    </row>
    <row r="507" spans="1:17" x14ac:dyDescent="0.25">
      <c r="A507" s="3" t="s">
        <v>952</v>
      </c>
      <c r="B507" s="4" t="s">
        <v>953</v>
      </c>
      <c r="C507" s="12">
        <v>0.9</v>
      </c>
      <c r="D507" s="4" t="s">
        <v>13</v>
      </c>
      <c r="E507" s="4" t="s">
        <v>14</v>
      </c>
      <c r="F507" s="4" t="s">
        <v>33</v>
      </c>
      <c r="G507" s="4" t="s">
        <v>34</v>
      </c>
      <c r="H507" s="4" t="s">
        <v>392</v>
      </c>
      <c r="I507" s="4">
        <v>0.87</v>
      </c>
      <c r="J507" s="4" t="s">
        <v>13</v>
      </c>
      <c r="K507" s="4" t="s">
        <v>18</v>
      </c>
      <c r="L507" t="s">
        <v>952</v>
      </c>
      <c r="M507" s="9">
        <f t="shared" si="48"/>
        <v>1.0922940000000001</v>
      </c>
      <c r="N507">
        <v>0</v>
      </c>
      <c r="O507" s="9">
        <v>0</v>
      </c>
      <c r="P507" s="9">
        <f t="shared" si="49"/>
        <v>-1.0922940000000001</v>
      </c>
      <c r="Q507" s="16">
        <f t="shared" si="51"/>
        <v>1.0922940000000001</v>
      </c>
    </row>
    <row r="508" spans="1:17" x14ac:dyDescent="0.25">
      <c r="A508" s="3" t="s">
        <v>954</v>
      </c>
      <c r="B508" s="4" t="s">
        <v>955</v>
      </c>
      <c r="C508" s="12">
        <v>40.56</v>
      </c>
      <c r="D508" s="4" t="s">
        <v>191</v>
      </c>
      <c r="E508" s="4" t="s">
        <v>14</v>
      </c>
      <c r="F508" s="4" t="s">
        <v>33</v>
      </c>
      <c r="G508" s="4" t="s">
        <v>34</v>
      </c>
      <c r="H508" s="4" t="s">
        <v>392</v>
      </c>
      <c r="I508" s="4">
        <v>39.380000000000003</v>
      </c>
      <c r="J508" s="4" t="s">
        <v>191</v>
      </c>
      <c r="K508" s="4" t="s">
        <v>18</v>
      </c>
      <c r="L508" t="s">
        <v>954</v>
      </c>
      <c r="M508" s="9">
        <f t="shared" si="48"/>
        <v>49.226049600000003</v>
      </c>
      <c r="N508">
        <v>0</v>
      </c>
      <c r="O508" s="9">
        <v>0</v>
      </c>
      <c r="P508" s="9">
        <f t="shared" si="49"/>
        <v>-49.226049600000003</v>
      </c>
      <c r="Q508" s="16">
        <f t="shared" si="51"/>
        <v>49.226049600000003</v>
      </c>
    </row>
    <row r="509" spans="1:17" x14ac:dyDescent="0.25">
      <c r="A509" s="3" t="s">
        <v>956</v>
      </c>
      <c r="B509" s="4" t="s">
        <v>957</v>
      </c>
      <c r="C509" s="12">
        <v>206</v>
      </c>
      <c r="D509" s="4" t="s">
        <v>32</v>
      </c>
      <c r="E509" s="4" t="s">
        <v>14</v>
      </c>
      <c r="F509" s="4" t="s">
        <v>33</v>
      </c>
      <c r="G509" s="4" t="s">
        <v>34</v>
      </c>
      <c r="H509" s="4" t="s">
        <v>35</v>
      </c>
      <c r="I509" s="4">
        <v>140</v>
      </c>
      <c r="J509" s="4" t="s">
        <v>32</v>
      </c>
      <c r="K509" s="4" t="s">
        <v>18</v>
      </c>
      <c r="L509" t="s">
        <v>956</v>
      </c>
      <c r="M509" s="9">
        <f t="shared" si="48"/>
        <v>250.01396</v>
      </c>
      <c r="N509">
        <v>0</v>
      </c>
      <c r="O509" s="9">
        <v>0</v>
      </c>
      <c r="P509" s="9">
        <f t="shared" si="49"/>
        <v>-250.01396</v>
      </c>
      <c r="Q509" s="16">
        <f t="shared" si="51"/>
        <v>250.01396</v>
      </c>
    </row>
    <row r="510" spans="1:17" x14ac:dyDescent="0.25">
      <c r="A510" s="3" t="s">
        <v>958</v>
      </c>
      <c r="B510" s="4" t="s">
        <v>959</v>
      </c>
      <c r="C510" s="12">
        <v>27</v>
      </c>
      <c r="D510" s="4" t="s">
        <v>32</v>
      </c>
      <c r="E510" s="4"/>
      <c r="F510" s="4" t="s">
        <v>33</v>
      </c>
      <c r="G510" s="4" t="s">
        <v>34</v>
      </c>
      <c r="H510" s="4" t="s">
        <v>35</v>
      </c>
      <c r="I510" s="4">
        <v>26.25</v>
      </c>
      <c r="J510" s="4" t="s">
        <v>32</v>
      </c>
      <c r="K510" s="4" t="s">
        <v>18</v>
      </c>
      <c r="L510" t="s">
        <v>958</v>
      </c>
      <c r="M510" s="9">
        <f t="shared" si="48"/>
        <v>32.768819999999998</v>
      </c>
      <c r="N510">
        <v>0</v>
      </c>
      <c r="O510" s="9">
        <v>0</v>
      </c>
      <c r="P510" s="9">
        <f t="shared" si="49"/>
        <v>-32.768819999999998</v>
      </c>
      <c r="Q510" s="16">
        <f t="shared" si="51"/>
        <v>32.768819999999998</v>
      </c>
    </row>
    <row r="511" spans="1:17" x14ac:dyDescent="0.25">
      <c r="A511" s="3" t="s">
        <v>960</v>
      </c>
      <c r="B511" s="4" t="s">
        <v>961</v>
      </c>
      <c r="C511" s="12">
        <v>211</v>
      </c>
      <c r="D511" s="4" t="s">
        <v>32</v>
      </c>
      <c r="E511" s="4"/>
      <c r="F511" s="4" t="s">
        <v>33</v>
      </c>
      <c r="G511" s="4" t="s">
        <v>34</v>
      </c>
      <c r="H511" s="4" t="s">
        <v>35</v>
      </c>
      <c r="I511" s="4">
        <v>204.75</v>
      </c>
      <c r="J511" s="4" t="s">
        <v>32</v>
      </c>
      <c r="K511" s="4" t="s">
        <v>18</v>
      </c>
      <c r="L511" t="s">
        <v>960</v>
      </c>
      <c r="M511" s="9">
        <f t="shared" si="48"/>
        <v>256.08226000000002</v>
      </c>
      <c r="N511">
        <v>0</v>
      </c>
      <c r="O511" s="9">
        <v>0</v>
      </c>
      <c r="P511" s="9">
        <f t="shared" si="49"/>
        <v>-256.08226000000002</v>
      </c>
      <c r="Q511" s="16">
        <f t="shared" si="51"/>
        <v>256.08226000000002</v>
      </c>
    </row>
    <row r="512" spans="1:17" x14ac:dyDescent="0.25">
      <c r="A512" s="3" t="s">
        <v>962</v>
      </c>
      <c r="B512" s="4" t="s">
        <v>963</v>
      </c>
      <c r="C512" s="12">
        <f>I512*3%+I512</f>
        <v>81.112499999999997</v>
      </c>
      <c r="D512" s="4" t="s">
        <v>32</v>
      </c>
      <c r="E512" s="4" t="s">
        <v>158</v>
      </c>
      <c r="F512" s="4" t="s">
        <v>159</v>
      </c>
      <c r="G512" s="4" t="s">
        <v>160</v>
      </c>
      <c r="H512" s="4" t="s">
        <v>161</v>
      </c>
      <c r="I512" s="4">
        <v>78.75</v>
      </c>
      <c r="J512" s="4" t="s">
        <v>32</v>
      </c>
      <c r="K512" s="4" t="s">
        <v>18</v>
      </c>
      <c r="L512" t="s">
        <v>962</v>
      </c>
      <c r="M512" s="9">
        <f t="shared" si="48"/>
        <v>98.442996749999992</v>
      </c>
      <c r="N512">
        <v>0</v>
      </c>
      <c r="O512" s="9">
        <v>0</v>
      </c>
      <c r="P512" s="9">
        <f t="shared" si="49"/>
        <v>-98.442996749999992</v>
      </c>
      <c r="Q512" s="16">
        <f t="shared" si="51"/>
        <v>98.442996749999992</v>
      </c>
    </row>
    <row r="513" spans="1:17" x14ac:dyDescent="0.25">
      <c r="A513" s="3" t="s">
        <v>964</v>
      </c>
      <c r="B513" s="4" t="s">
        <v>965</v>
      </c>
      <c r="C513" s="12">
        <v>39.65</v>
      </c>
      <c r="D513" s="4" t="s">
        <v>966</v>
      </c>
      <c r="E513" s="4" t="s">
        <v>14</v>
      </c>
      <c r="F513" s="4" t="s">
        <v>33</v>
      </c>
      <c r="G513" s="4" t="s">
        <v>34</v>
      </c>
      <c r="H513" s="4" t="s">
        <v>180</v>
      </c>
      <c r="I513" s="4">
        <v>38.49</v>
      </c>
      <c r="J513" s="4" t="s">
        <v>966</v>
      </c>
      <c r="K513" s="4" t="s">
        <v>18</v>
      </c>
      <c r="L513" t="s">
        <v>964</v>
      </c>
      <c r="M513" s="9">
        <f t="shared" si="48"/>
        <v>48.121618999999995</v>
      </c>
      <c r="N513">
        <v>0</v>
      </c>
      <c r="O513" s="9">
        <v>0</v>
      </c>
      <c r="P513" s="9">
        <f t="shared" si="49"/>
        <v>-48.121618999999995</v>
      </c>
      <c r="Q513" s="16">
        <f t="shared" si="51"/>
        <v>48.121618999999995</v>
      </c>
    </row>
    <row r="514" spans="1:17" x14ac:dyDescent="0.25">
      <c r="A514" s="3" t="s">
        <v>967</v>
      </c>
      <c r="B514" s="4" t="s">
        <v>968</v>
      </c>
      <c r="C514" s="12">
        <v>46.88</v>
      </c>
      <c r="D514" s="4" t="s">
        <v>191</v>
      </c>
      <c r="E514" s="4" t="s">
        <v>14</v>
      </c>
      <c r="F514" s="4" t="s">
        <v>33</v>
      </c>
      <c r="G514" s="4" t="s">
        <v>34</v>
      </c>
      <c r="H514" s="4" t="s">
        <v>180</v>
      </c>
      <c r="I514" s="4">
        <v>45.51</v>
      </c>
      <c r="J514" s="4" t="s">
        <v>191</v>
      </c>
      <c r="K514" s="4" t="s">
        <v>18</v>
      </c>
      <c r="L514" t="s">
        <v>967</v>
      </c>
      <c r="M514" s="9">
        <f t="shared" si="48"/>
        <v>56.896380800000003</v>
      </c>
      <c r="N514">
        <v>0</v>
      </c>
      <c r="O514" s="9">
        <v>0</v>
      </c>
      <c r="P514" s="9">
        <f t="shared" si="49"/>
        <v>-56.896380800000003</v>
      </c>
      <c r="Q514" s="16">
        <f t="shared" si="51"/>
        <v>56.896380800000003</v>
      </c>
    </row>
    <row r="515" spans="1:17" x14ac:dyDescent="0.25">
      <c r="A515" s="3" t="s">
        <v>969</v>
      </c>
      <c r="B515" s="4" t="s">
        <v>970</v>
      </c>
      <c r="C515" s="12">
        <f>I515*3%+I515</f>
        <v>77.867999999999995</v>
      </c>
      <c r="D515" s="4" t="s">
        <v>242</v>
      </c>
      <c r="E515" s="4" t="s">
        <v>23</v>
      </c>
      <c r="F515" s="4" t="s">
        <v>49</v>
      </c>
      <c r="G515" s="4" t="s">
        <v>50</v>
      </c>
      <c r="H515" s="4" t="s">
        <v>50</v>
      </c>
      <c r="I515" s="4">
        <v>75.599999999999994</v>
      </c>
      <c r="J515" s="4" t="s">
        <v>242</v>
      </c>
      <c r="K515" s="4" t="s">
        <v>18</v>
      </c>
      <c r="L515" t="s">
        <v>969</v>
      </c>
      <c r="M515" s="9">
        <f t="shared" ref="M515:M578" si="53">C515*1.21366</f>
        <v>94.505276879999997</v>
      </c>
      <c r="N515" t="s">
        <v>969</v>
      </c>
      <c r="O515" s="9">
        <v>94.502499999999998</v>
      </c>
      <c r="P515" s="9">
        <f t="shared" ref="P515:P578" si="54">O515-M515</f>
        <v>-2.7768799999989824E-3</v>
      </c>
      <c r="Q515" s="16">
        <f t="shared" si="51"/>
        <v>94.505276879999997</v>
      </c>
    </row>
    <row r="516" spans="1:17" x14ac:dyDescent="0.25">
      <c r="A516" s="3" t="s">
        <v>971</v>
      </c>
      <c r="B516" s="4" t="s">
        <v>972</v>
      </c>
      <c r="C516" s="12">
        <f t="shared" ref="C516:C550" si="55">I516*3%+I516</f>
        <v>48.389399999999995</v>
      </c>
      <c r="D516" s="4" t="s">
        <v>13</v>
      </c>
      <c r="E516" s="4" t="s">
        <v>23</v>
      </c>
      <c r="F516" s="4" t="s">
        <v>49</v>
      </c>
      <c r="G516" s="4" t="s">
        <v>50</v>
      </c>
      <c r="H516" s="4" t="s">
        <v>50</v>
      </c>
      <c r="I516" s="4">
        <v>46.98</v>
      </c>
      <c r="J516" s="4" t="s">
        <v>13</v>
      </c>
      <c r="K516" s="4" t="s">
        <v>18</v>
      </c>
      <c r="L516" t="s">
        <v>971</v>
      </c>
      <c r="M516" s="9">
        <f t="shared" si="53"/>
        <v>58.728279203999989</v>
      </c>
      <c r="N516" t="s">
        <v>971</v>
      </c>
      <c r="O516" s="9">
        <v>58.730600000000003</v>
      </c>
      <c r="P516" s="9">
        <f t="shared" si="54"/>
        <v>2.3207960000135586E-3</v>
      </c>
      <c r="Q516" s="16">
        <f t="shared" si="51"/>
        <v>58.728279203999989</v>
      </c>
    </row>
    <row r="517" spans="1:17" x14ac:dyDescent="0.25">
      <c r="A517" s="3" t="s">
        <v>973</v>
      </c>
      <c r="B517" s="4" t="s">
        <v>974</v>
      </c>
      <c r="C517" s="12">
        <f t="shared" si="55"/>
        <v>57.3504</v>
      </c>
      <c r="D517" s="4" t="s">
        <v>13</v>
      </c>
      <c r="E517" s="4" t="s">
        <v>23</v>
      </c>
      <c r="F517" s="4" t="s">
        <v>49</v>
      </c>
      <c r="G517" s="4" t="s">
        <v>50</v>
      </c>
      <c r="H517" s="4" t="s">
        <v>50</v>
      </c>
      <c r="I517" s="4">
        <v>55.68</v>
      </c>
      <c r="J517" s="4" t="s">
        <v>13</v>
      </c>
      <c r="K517" s="4" t="s">
        <v>18</v>
      </c>
      <c r="L517" t="s">
        <v>973</v>
      </c>
      <c r="M517" s="9">
        <f t="shared" si="53"/>
        <v>69.603886463999999</v>
      </c>
      <c r="N517" t="s">
        <v>973</v>
      </c>
      <c r="O517" s="9">
        <v>34.999400000000001</v>
      </c>
      <c r="P517" s="9">
        <f t="shared" si="54"/>
        <v>-34.604486463999997</v>
      </c>
      <c r="Q517" s="16">
        <f t="shared" si="51"/>
        <v>69.603886463999999</v>
      </c>
    </row>
    <row r="518" spans="1:17" x14ac:dyDescent="0.25">
      <c r="A518" s="3" t="s">
        <v>975</v>
      </c>
      <c r="B518" s="4" t="s">
        <v>976</v>
      </c>
      <c r="C518" s="12">
        <f t="shared" si="55"/>
        <v>58.401000000000003</v>
      </c>
      <c r="D518" s="4" t="s">
        <v>13</v>
      </c>
      <c r="E518" s="4" t="s">
        <v>23</v>
      </c>
      <c r="F518" s="4" t="s">
        <v>49</v>
      </c>
      <c r="G518" s="4" t="s">
        <v>50</v>
      </c>
      <c r="H518" s="4" t="s">
        <v>50</v>
      </c>
      <c r="I518" s="4">
        <v>56.7</v>
      </c>
      <c r="J518" s="4" t="s">
        <v>13</v>
      </c>
      <c r="K518" s="4" t="s">
        <v>18</v>
      </c>
      <c r="L518" t="s">
        <v>975</v>
      </c>
      <c r="M518" s="9">
        <f t="shared" si="53"/>
        <v>70.878957659999998</v>
      </c>
      <c r="N518">
        <v>0</v>
      </c>
      <c r="O518" s="9">
        <v>0</v>
      </c>
      <c r="P518" s="9">
        <f t="shared" si="54"/>
        <v>-70.878957659999998</v>
      </c>
      <c r="Q518" s="16">
        <f t="shared" si="51"/>
        <v>70.878957659999998</v>
      </c>
    </row>
    <row r="519" spans="1:17" x14ac:dyDescent="0.25">
      <c r="A519" s="3" t="s">
        <v>977</v>
      </c>
      <c r="B519" s="4" t="s">
        <v>978</v>
      </c>
      <c r="C519" s="12">
        <f t="shared" si="55"/>
        <v>40.664399999999993</v>
      </c>
      <c r="D519" s="4" t="s">
        <v>13</v>
      </c>
      <c r="E519" s="4" t="s">
        <v>23</v>
      </c>
      <c r="F519" s="4" t="s">
        <v>49</v>
      </c>
      <c r="G519" s="4" t="s">
        <v>50</v>
      </c>
      <c r="H519" s="4" t="s">
        <v>50</v>
      </c>
      <c r="I519" s="4">
        <v>39.479999999999997</v>
      </c>
      <c r="J519" s="4" t="s">
        <v>13</v>
      </c>
      <c r="K519" s="4" t="s">
        <v>18</v>
      </c>
      <c r="L519" t="s">
        <v>977</v>
      </c>
      <c r="M519" s="9">
        <f t="shared" si="53"/>
        <v>49.352755703999989</v>
      </c>
      <c r="N519">
        <v>0</v>
      </c>
      <c r="O519" s="9">
        <v>0</v>
      </c>
      <c r="P519" s="9">
        <f t="shared" si="54"/>
        <v>-49.352755703999989</v>
      </c>
      <c r="Q519" s="16">
        <f t="shared" si="51"/>
        <v>49.352755703999989</v>
      </c>
    </row>
    <row r="520" spans="1:17" x14ac:dyDescent="0.25">
      <c r="A520" s="3" t="s">
        <v>979</v>
      </c>
      <c r="B520" s="4" t="s">
        <v>980</v>
      </c>
      <c r="C520" s="12">
        <f t="shared" si="55"/>
        <v>62.83</v>
      </c>
      <c r="D520" s="4" t="s">
        <v>242</v>
      </c>
      <c r="E520" s="4"/>
      <c r="F520" s="4" t="s">
        <v>49</v>
      </c>
      <c r="G520" s="4" t="s">
        <v>50</v>
      </c>
      <c r="H520" s="4" t="s">
        <v>50</v>
      </c>
      <c r="I520" s="4">
        <v>61</v>
      </c>
      <c r="J520" s="4" t="s">
        <v>242</v>
      </c>
      <c r="K520" s="4" t="s">
        <v>18</v>
      </c>
      <c r="L520" t="s">
        <v>979</v>
      </c>
      <c r="M520" s="9">
        <f t="shared" si="53"/>
        <v>76.254257799999991</v>
      </c>
      <c r="N520">
        <v>0</v>
      </c>
      <c r="O520" s="9">
        <v>0</v>
      </c>
      <c r="P520" s="9">
        <f t="shared" si="54"/>
        <v>-76.254257799999991</v>
      </c>
      <c r="Q520" s="16">
        <f t="shared" si="51"/>
        <v>76.254257799999991</v>
      </c>
    </row>
    <row r="521" spans="1:17" x14ac:dyDescent="0.25">
      <c r="A521" s="3" t="s">
        <v>981</v>
      </c>
      <c r="B521" s="4" t="s">
        <v>982</v>
      </c>
      <c r="C521" s="12">
        <f t="shared" si="55"/>
        <v>88.682999999999993</v>
      </c>
      <c r="D521" s="4" t="s">
        <v>13</v>
      </c>
      <c r="E521" s="4" t="s">
        <v>23</v>
      </c>
      <c r="F521" s="4" t="s">
        <v>49</v>
      </c>
      <c r="G521" s="4" t="s">
        <v>50</v>
      </c>
      <c r="H521" s="4" t="s">
        <v>50</v>
      </c>
      <c r="I521" s="4">
        <v>86.1</v>
      </c>
      <c r="J521" s="4" t="s">
        <v>13</v>
      </c>
      <c r="K521" s="4" t="s">
        <v>18</v>
      </c>
      <c r="L521" t="s">
        <v>981</v>
      </c>
      <c r="M521" s="9">
        <f t="shared" si="53"/>
        <v>107.63100977999999</v>
      </c>
      <c r="N521" t="s">
        <v>981</v>
      </c>
      <c r="O521" s="9">
        <v>107.63500000000001</v>
      </c>
      <c r="P521" s="9">
        <f t="shared" si="54"/>
        <v>3.9902200000199173E-3</v>
      </c>
      <c r="Q521" s="16">
        <f t="shared" si="51"/>
        <v>107.63100977999999</v>
      </c>
    </row>
    <row r="522" spans="1:17" x14ac:dyDescent="0.25">
      <c r="A522" s="3" t="s">
        <v>983</v>
      </c>
      <c r="B522" s="4" t="s">
        <v>984</v>
      </c>
      <c r="C522" s="12">
        <f t="shared" si="55"/>
        <v>153.2022</v>
      </c>
      <c r="D522" s="4" t="s">
        <v>383</v>
      </c>
      <c r="E522" s="4"/>
      <c r="F522" s="4" t="s">
        <v>15</v>
      </c>
      <c r="G522" s="4" t="s">
        <v>16</v>
      </c>
      <c r="H522" s="4" t="s">
        <v>17</v>
      </c>
      <c r="I522" s="4">
        <v>148.74</v>
      </c>
      <c r="J522" s="4" t="s">
        <v>383</v>
      </c>
      <c r="K522" s="4" t="s">
        <v>18</v>
      </c>
      <c r="L522" t="s">
        <v>983</v>
      </c>
      <c r="M522" s="9">
        <f t="shared" si="53"/>
        <v>185.93538205199999</v>
      </c>
      <c r="N522" t="s">
        <v>983</v>
      </c>
      <c r="O522" s="9">
        <v>185.93559999999999</v>
      </c>
      <c r="P522" s="9">
        <f t="shared" si="54"/>
        <v>2.1794799999952374E-4</v>
      </c>
      <c r="Q522" s="16">
        <f t="shared" si="51"/>
        <v>185.93538205199999</v>
      </c>
    </row>
    <row r="523" spans="1:17" x14ac:dyDescent="0.25">
      <c r="A523" s="3" t="s">
        <v>985</v>
      </c>
      <c r="B523" s="4" t="s">
        <v>986</v>
      </c>
      <c r="C523" s="12">
        <f t="shared" si="55"/>
        <v>135.1875</v>
      </c>
      <c r="D523" s="4" t="s">
        <v>111</v>
      </c>
      <c r="E523" s="4" t="s">
        <v>14</v>
      </c>
      <c r="F523" s="4" t="s">
        <v>15</v>
      </c>
      <c r="G523" s="4" t="s">
        <v>16</v>
      </c>
      <c r="H523" s="4" t="s">
        <v>17</v>
      </c>
      <c r="I523" s="4">
        <v>131.25</v>
      </c>
      <c r="J523" s="4" t="s">
        <v>111</v>
      </c>
      <c r="K523" s="4" t="s">
        <v>18</v>
      </c>
      <c r="L523" t="s">
        <v>985</v>
      </c>
      <c r="M523" s="9">
        <f t="shared" si="53"/>
        <v>164.07166125000001</v>
      </c>
      <c r="N523" t="s">
        <v>985</v>
      </c>
      <c r="O523" s="9">
        <v>164.06870000000001</v>
      </c>
      <c r="P523" s="9">
        <f t="shared" si="54"/>
        <v>-2.961249999998472E-3</v>
      </c>
      <c r="Q523" s="16">
        <f t="shared" si="51"/>
        <v>164.07166125000001</v>
      </c>
    </row>
    <row r="524" spans="1:17" x14ac:dyDescent="0.25">
      <c r="A524" s="3" t="s">
        <v>987</v>
      </c>
      <c r="B524" s="4" t="s">
        <v>988</v>
      </c>
      <c r="C524" s="12">
        <f t="shared" si="55"/>
        <v>23.257399999999997</v>
      </c>
      <c r="D524" s="4" t="s">
        <v>124</v>
      </c>
      <c r="E524" s="4" t="s">
        <v>14</v>
      </c>
      <c r="F524" s="4" t="s">
        <v>15</v>
      </c>
      <c r="G524" s="4" t="s">
        <v>16</v>
      </c>
      <c r="H524" s="4" t="s">
        <v>17</v>
      </c>
      <c r="I524" s="4">
        <v>22.58</v>
      </c>
      <c r="J524" s="4" t="s">
        <v>124</v>
      </c>
      <c r="K524" s="4" t="s">
        <v>18</v>
      </c>
      <c r="L524" t="s">
        <v>987</v>
      </c>
      <c r="M524" s="9">
        <f t="shared" si="53"/>
        <v>28.226576083999994</v>
      </c>
      <c r="N524" t="s">
        <v>987</v>
      </c>
      <c r="O524" s="9">
        <v>28.222000000000001</v>
      </c>
      <c r="P524" s="9">
        <f t="shared" si="54"/>
        <v>-4.5760839999928749E-3</v>
      </c>
      <c r="Q524" s="16">
        <f t="shared" si="51"/>
        <v>28.226576083999994</v>
      </c>
    </row>
    <row r="525" spans="1:17" x14ac:dyDescent="0.25">
      <c r="A525" s="3" t="s">
        <v>989</v>
      </c>
      <c r="B525" s="4" t="s">
        <v>990</v>
      </c>
      <c r="C525" s="12">
        <f t="shared" si="55"/>
        <v>7.21</v>
      </c>
      <c r="D525" s="4" t="s">
        <v>124</v>
      </c>
      <c r="E525" s="4" t="s">
        <v>14</v>
      </c>
      <c r="F525" s="4" t="s">
        <v>15</v>
      </c>
      <c r="G525" s="4" t="s">
        <v>16</v>
      </c>
      <c r="H525" s="4" t="s">
        <v>17</v>
      </c>
      <c r="I525" s="4">
        <v>7</v>
      </c>
      <c r="J525" s="4" t="s">
        <v>124</v>
      </c>
      <c r="K525" s="4" t="s">
        <v>18</v>
      </c>
      <c r="L525" t="s">
        <v>989</v>
      </c>
      <c r="M525" s="9">
        <f t="shared" si="53"/>
        <v>8.7504885999999988</v>
      </c>
      <c r="N525" t="s">
        <v>989</v>
      </c>
      <c r="O525" s="9">
        <v>8.7550000000000008</v>
      </c>
      <c r="P525" s="9">
        <f t="shared" si="54"/>
        <v>4.5114000000019416E-3</v>
      </c>
      <c r="Q525" s="16">
        <f t="shared" si="51"/>
        <v>8.7504885999999988</v>
      </c>
    </row>
    <row r="526" spans="1:17" x14ac:dyDescent="0.25">
      <c r="A526" s="3" t="s">
        <v>991</v>
      </c>
      <c r="B526" s="4" t="s">
        <v>992</v>
      </c>
      <c r="C526" s="12">
        <f t="shared" si="55"/>
        <v>23.257399999999997</v>
      </c>
      <c r="D526" s="4" t="s">
        <v>966</v>
      </c>
      <c r="E526" s="4" t="s">
        <v>14</v>
      </c>
      <c r="F526" s="4" t="s">
        <v>15</v>
      </c>
      <c r="G526" s="4" t="s">
        <v>16</v>
      </c>
      <c r="H526" s="4" t="s">
        <v>17</v>
      </c>
      <c r="I526" s="4">
        <v>22.58</v>
      </c>
      <c r="J526" s="4" t="s">
        <v>966</v>
      </c>
      <c r="K526" s="4" t="s">
        <v>18</v>
      </c>
      <c r="L526" t="s">
        <v>991</v>
      </c>
      <c r="M526" s="9">
        <f t="shared" si="53"/>
        <v>28.226576083999994</v>
      </c>
      <c r="N526">
        <v>0</v>
      </c>
      <c r="O526" s="9">
        <v>0</v>
      </c>
      <c r="P526" s="9">
        <f t="shared" si="54"/>
        <v>-28.226576083999994</v>
      </c>
      <c r="Q526" s="16">
        <f t="shared" si="51"/>
        <v>28.226576083999994</v>
      </c>
    </row>
    <row r="527" spans="1:17" x14ac:dyDescent="0.25">
      <c r="A527" s="3" t="s">
        <v>993</v>
      </c>
      <c r="B527" s="4" t="s">
        <v>994</v>
      </c>
      <c r="C527" s="12">
        <f t="shared" si="55"/>
        <v>251.69080000000002</v>
      </c>
      <c r="D527" s="4" t="s">
        <v>242</v>
      </c>
      <c r="E527" s="4" t="s">
        <v>14</v>
      </c>
      <c r="F527" s="4" t="s">
        <v>15</v>
      </c>
      <c r="G527" s="4" t="s">
        <v>16</v>
      </c>
      <c r="H527" s="4" t="s">
        <v>17</v>
      </c>
      <c r="I527" s="4">
        <v>244.36</v>
      </c>
      <c r="J527" s="4" t="s">
        <v>242</v>
      </c>
      <c r="K527" s="4" t="s">
        <v>18</v>
      </c>
      <c r="L527" t="s">
        <v>993</v>
      </c>
      <c r="M527" s="9">
        <f t="shared" si="53"/>
        <v>305.46705632800001</v>
      </c>
      <c r="N527">
        <v>0</v>
      </c>
      <c r="O527" s="9">
        <v>0</v>
      </c>
      <c r="P527" s="9">
        <f t="shared" si="54"/>
        <v>-305.46705632800001</v>
      </c>
      <c r="Q527" s="16">
        <f t="shared" si="51"/>
        <v>305.46705632800001</v>
      </c>
    </row>
    <row r="528" spans="1:17" x14ac:dyDescent="0.25">
      <c r="A528" s="3" t="s">
        <v>995</v>
      </c>
      <c r="B528" s="4" t="s">
        <v>996</v>
      </c>
      <c r="C528" s="12">
        <f t="shared" si="55"/>
        <v>102.0112</v>
      </c>
      <c r="D528" s="4" t="s">
        <v>242</v>
      </c>
      <c r="E528" s="4" t="s">
        <v>14</v>
      </c>
      <c r="F528" s="4" t="s">
        <v>15</v>
      </c>
      <c r="G528" s="4" t="s">
        <v>16</v>
      </c>
      <c r="H528" s="4" t="s">
        <v>17</v>
      </c>
      <c r="I528" s="4">
        <v>99.04</v>
      </c>
      <c r="J528" s="4" t="s">
        <v>242</v>
      </c>
      <c r="K528" s="4" t="s">
        <v>18</v>
      </c>
      <c r="L528" t="s">
        <v>995</v>
      </c>
      <c r="M528" s="9">
        <f t="shared" si="53"/>
        <v>123.80691299199999</v>
      </c>
      <c r="N528" t="s">
        <v>995</v>
      </c>
      <c r="O528" s="9">
        <v>123.806</v>
      </c>
      <c r="P528" s="9">
        <f t="shared" si="54"/>
        <v>-9.1299199999639313E-4</v>
      </c>
      <c r="Q528" s="16">
        <f t="shared" si="51"/>
        <v>123.80691299199999</v>
      </c>
    </row>
    <row r="529" spans="1:17" x14ac:dyDescent="0.25">
      <c r="A529" s="3" t="s">
        <v>997</v>
      </c>
      <c r="B529" s="4" t="s">
        <v>998</v>
      </c>
      <c r="C529" s="12">
        <f t="shared" si="55"/>
        <v>79.495400000000004</v>
      </c>
      <c r="D529" s="4" t="s">
        <v>13</v>
      </c>
      <c r="E529" s="4" t="s">
        <v>23</v>
      </c>
      <c r="F529" s="4" t="s">
        <v>49</v>
      </c>
      <c r="G529" s="4" t="s">
        <v>50</v>
      </c>
      <c r="H529" s="4" t="s">
        <v>50</v>
      </c>
      <c r="I529" s="4">
        <v>77.180000000000007</v>
      </c>
      <c r="J529" s="4" t="s">
        <v>13</v>
      </c>
      <c r="K529" s="4" t="s">
        <v>18</v>
      </c>
      <c r="L529" t="s">
        <v>997</v>
      </c>
      <c r="M529" s="9">
        <f t="shared" si="53"/>
        <v>96.480387164000007</v>
      </c>
      <c r="N529" t="s">
        <v>997</v>
      </c>
      <c r="O529" s="9">
        <v>96.480099999999993</v>
      </c>
      <c r="P529" s="9">
        <f t="shared" si="54"/>
        <v>-2.8716400001371767E-4</v>
      </c>
      <c r="Q529" s="16">
        <f t="shared" si="51"/>
        <v>96.480387164000007</v>
      </c>
    </row>
    <row r="530" spans="1:17" x14ac:dyDescent="0.25">
      <c r="A530" s="3">
        <v>76701003006</v>
      </c>
      <c r="B530" s="4" t="s">
        <v>999</v>
      </c>
      <c r="C530" s="12">
        <f t="shared" si="55"/>
        <v>178.3330464</v>
      </c>
      <c r="D530" s="4" t="s">
        <v>13</v>
      </c>
      <c r="E530" s="4" t="s">
        <v>14</v>
      </c>
      <c r="F530" s="4" t="s">
        <v>33</v>
      </c>
      <c r="G530" s="4" t="s">
        <v>34</v>
      </c>
      <c r="H530" s="4" t="s">
        <v>517</v>
      </c>
      <c r="I530" s="4">
        <v>173.13888</v>
      </c>
      <c r="J530" s="4" t="s">
        <v>383</v>
      </c>
      <c r="K530" s="4" t="s">
        <v>18</v>
      </c>
      <c r="L530">
        <v>0</v>
      </c>
      <c r="M530" s="9">
        <f t="shared" si="53"/>
        <v>216.43568509382399</v>
      </c>
      <c r="N530">
        <v>0</v>
      </c>
      <c r="O530" s="9">
        <v>0</v>
      </c>
      <c r="P530" s="9">
        <f t="shared" si="54"/>
        <v>-216.43568509382399</v>
      </c>
      <c r="Q530" s="16">
        <f t="shared" si="51"/>
        <v>216.43568509382399</v>
      </c>
    </row>
    <row r="531" spans="1:17" x14ac:dyDescent="0.25">
      <c r="A531" s="3">
        <v>76701003005</v>
      </c>
      <c r="B531" s="4" t="s">
        <v>1000</v>
      </c>
      <c r="C531" s="12">
        <f t="shared" si="55"/>
        <v>0</v>
      </c>
      <c r="D531" s="4" t="s">
        <v>13</v>
      </c>
      <c r="E531" s="4" t="s">
        <v>14</v>
      </c>
      <c r="F531" s="4" t="s">
        <v>33</v>
      </c>
      <c r="G531" s="4" t="s">
        <v>34</v>
      </c>
      <c r="H531" s="4" t="s">
        <v>517</v>
      </c>
      <c r="I531" s="4"/>
      <c r="J531" s="4" t="s">
        <v>13</v>
      </c>
      <c r="K531" s="4" t="s">
        <v>18</v>
      </c>
      <c r="L531">
        <v>0</v>
      </c>
      <c r="M531" s="9">
        <f t="shared" si="53"/>
        <v>0</v>
      </c>
      <c r="N531">
        <v>0</v>
      </c>
      <c r="O531" s="9">
        <v>0</v>
      </c>
      <c r="P531" s="9">
        <f t="shared" si="54"/>
        <v>0</v>
      </c>
      <c r="Q531" s="16">
        <f t="shared" si="51"/>
        <v>0</v>
      </c>
    </row>
    <row r="532" spans="1:17" x14ac:dyDescent="0.25">
      <c r="A532" s="3">
        <v>76701005006</v>
      </c>
      <c r="B532" s="4" t="s">
        <v>1001</v>
      </c>
      <c r="C532" s="12">
        <f t="shared" si="55"/>
        <v>0</v>
      </c>
      <c r="D532" s="4" t="s">
        <v>191</v>
      </c>
      <c r="E532" s="4" t="s">
        <v>14</v>
      </c>
      <c r="F532" s="4" t="s">
        <v>33</v>
      </c>
      <c r="G532" s="4" t="s">
        <v>34</v>
      </c>
      <c r="H532" s="4" t="s">
        <v>517</v>
      </c>
      <c r="I532" s="4"/>
      <c r="J532" s="4" t="s">
        <v>379</v>
      </c>
      <c r="K532" s="4" t="s">
        <v>18</v>
      </c>
      <c r="L532">
        <v>0</v>
      </c>
      <c r="M532" s="9">
        <f t="shared" si="53"/>
        <v>0</v>
      </c>
      <c r="N532">
        <v>0</v>
      </c>
      <c r="O532" s="9">
        <v>0</v>
      </c>
      <c r="P532" s="9">
        <f t="shared" si="54"/>
        <v>0</v>
      </c>
      <c r="Q532" s="16">
        <f t="shared" si="51"/>
        <v>0</v>
      </c>
    </row>
    <row r="533" spans="1:17" x14ac:dyDescent="0.25">
      <c r="A533" s="3">
        <v>76701002023</v>
      </c>
      <c r="B533" s="4" t="s">
        <v>1002</v>
      </c>
      <c r="C533" s="12">
        <f t="shared" si="55"/>
        <v>12.0155165</v>
      </c>
      <c r="D533" s="4" t="s">
        <v>191</v>
      </c>
      <c r="E533" s="4" t="s">
        <v>14</v>
      </c>
      <c r="F533" s="4" t="s">
        <v>33</v>
      </c>
      <c r="G533" s="4" t="s">
        <v>34</v>
      </c>
      <c r="H533" s="4" t="s">
        <v>517</v>
      </c>
      <c r="I533" s="4">
        <v>11.66555</v>
      </c>
      <c r="J533" s="4" t="s">
        <v>379</v>
      </c>
      <c r="K533" s="4" t="s">
        <v>18</v>
      </c>
      <c r="L533">
        <v>0</v>
      </c>
      <c r="M533" s="9">
        <f t="shared" si="53"/>
        <v>14.582751755389999</v>
      </c>
      <c r="N533">
        <v>0</v>
      </c>
      <c r="O533" s="9">
        <v>0</v>
      </c>
      <c r="P533" s="9">
        <f t="shared" si="54"/>
        <v>-14.582751755389999</v>
      </c>
      <c r="Q533" s="16">
        <f t="shared" si="51"/>
        <v>14.582751755389999</v>
      </c>
    </row>
    <row r="534" spans="1:17" x14ac:dyDescent="0.25">
      <c r="A534" s="3">
        <v>76701003007</v>
      </c>
      <c r="B534" s="4" t="s">
        <v>1003</v>
      </c>
      <c r="C534" s="12">
        <f t="shared" si="55"/>
        <v>2249.6023999999998</v>
      </c>
      <c r="D534" s="4" t="s">
        <v>383</v>
      </c>
      <c r="E534" s="4" t="s">
        <v>14</v>
      </c>
      <c r="F534" s="4" t="s">
        <v>33</v>
      </c>
      <c r="G534" s="4" t="s">
        <v>34</v>
      </c>
      <c r="H534" s="4" t="s">
        <v>517</v>
      </c>
      <c r="I534" s="4">
        <v>2184.08</v>
      </c>
      <c r="J534" s="4" t="s">
        <v>13</v>
      </c>
      <c r="K534" s="4" t="s">
        <v>18</v>
      </c>
      <c r="L534">
        <v>0</v>
      </c>
      <c r="M534" s="9">
        <f t="shared" si="53"/>
        <v>2730.2524487839996</v>
      </c>
      <c r="N534">
        <v>0</v>
      </c>
      <c r="O534" s="9">
        <v>0</v>
      </c>
      <c r="P534" s="9">
        <f t="shared" si="54"/>
        <v>-2730.2524487839996</v>
      </c>
      <c r="Q534" s="16">
        <f t="shared" si="51"/>
        <v>2730.2524487839996</v>
      </c>
    </row>
    <row r="535" spans="1:17" x14ac:dyDescent="0.25">
      <c r="A535" s="3">
        <v>76701005024</v>
      </c>
      <c r="B535" s="4" t="s">
        <v>1004</v>
      </c>
      <c r="C535" s="12">
        <f t="shared" si="55"/>
        <v>0</v>
      </c>
      <c r="D535" s="4" t="s">
        <v>191</v>
      </c>
      <c r="E535" s="4" t="s">
        <v>14</v>
      </c>
      <c r="F535" s="4" t="s">
        <v>33</v>
      </c>
      <c r="G535" s="4" t="s">
        <v>34</v>
      </c>
      <c r="H535" s="4" t="s">
        <v>517</v>
      </c>
      <c r="I535" s="4"/>
      <c r="J535" s="4" t="s">
        <v>379</v>
      </c>
      <c r="K535" s="4" t="s">
        <v>18</v>
      </c>
      <c r="L535">
        <v>0</v>
      </c>
      <c r="M535" s="9">
        <f t="shared" si="53"/>
        <v>0</v>
      </c>
      <c r="N535">
        <v>0</v>
      </c>
      <c r="O535" s="9">
        <v>0</v>
      </c>
      <c r="P535" s="9">
        <f t="shared" si="54"/>
        <v>0</v>
      </c>
      <c r="Q535" s="16">
        <f t="shared" si="51"/>
        <v>0</v>
      </c>
    </row>
    <row r="536" spans="1:17" x14ac:dyDescent="0.25">
      <c r="A536" s="3">
        <v>76701003009</v>
      </c>
      <c r="B536" s="4" t="s">
        <v>1005</v>
      </c>
      <c r="C536" s="12">
        <f t="shared" si="55"/>
        <v>2249.6023999999998</v>
      </c>
      <c r="D536" s="4" t="s">
        <v>383</v>
      </c>
      <c r="E536" s="4" t="s">
        <v>14</v>
      </c>
      <c r="F536" s="4" t="s">
        <v>33</v>
      </c>
      <c r="G536" s="4" t="s">
        <v>34</v>
      </c>
      <c r="H536" s="4" t="s">
        <v>517</v>
      </c>
      <c r="I536" s="4">
        <v>2184.08</v>
      </c>
      <c r="J536" s="4" t="s">
        <v>13</v>
      </c>
      <c r="K536" s="4" t="s">
        <v>18</v>
      </c>
      <c r="L536">
        <v>0</v>
      </c>
      <c r="M536" s="9">
        <f t="shared" si="53"/>
        <v>2730.2524487839996</v>
      </c>
      <c r="N536">
        <v>0</v>
      </c>
      <c r="O536" s="9">
        <v>0</v>
      </c>
      <c r="P536" s="9">
        <f t="shared" si="54"/>
        <v>-2730.2524487839996</v>
      </c>
      <c r="Q536" s="16">
        <f t="shared" si="51"/>
        <v>2730.2524487839996</v>
      </c>
    </row>
    <row r="537" spans="1:17" x14ac:dyDescent="0.25">
      <c r="A537" s="3">
        <v>76701007005</v>
      </c>
      <c r="B537" s="4" t="s">
        <v>1006</v>
      </c>
      <c r="C537" s="12">
        <f t="shared" si="55"/>
        <v>3.0987550000000001</v>
      </c>
      <c r="D537" s="4" t="s">
        <v>191</v>
      </c>
      <c r="E537" s="4" t="s">
        <v>14</v>
      </c>
      <c r="F537" s="4" t="s">
        <v>33</v>
      </c>
      <c r="G537" s="4" t="s">
        <v>34</v>
      </c>
      <c r="H537" s="4" t="s">
        <v>517</v>
      </c>
      <c r="I537" s="4">
        <v>3.0085000000000002</v>
      </c>
      <c r="J537" s="4" t="s">
        <v>379</v>
      </c>
      <c r="K537" s="4" t="s">
        <v>18</v>
      </c>
      <c r="L537">
        <v>0</v>
      </c>
      <c r="M537" s="9">
        <f t="shared" si="53"/>
        <v>3.7608349933</v>
      </c>
      <c r="N537">
        <v>0</v>
      </c>
      <c r="O537" s="9">
        <v>0</v>
      </c>
      <c r="P537" s="9">
        <f t="shared" si="54"/>
        <v>-3.7608349933</v>
      </c>
      <c r="Q537" s="16">
        <f t="shared" si="51"/>
        <v>3.7608349933</v>
      </c>
    </row>
    <row r="538" spans="1:17" x14ac:dyDescent="0.25">
      <c r="A538" s="3">
        <v>76701080004</v>
      </c>
      <c r="B538" s="4" t="s">
        <v>1007</v>
      </c>
      <c r="C538" s="12">
        <f t="shared" si="55"/>
        <v>379.24599999999998</v>
      </c>
      <c r="D538" s="4" t="s">
        <v>191</v>
      </c>
      <c r="E538" s="4"/>
      <c r="F538" s="4" t="s">
        <v>33</v>
      </c>
      <c r="G538" s="4" t="s">
        <v>34</v>
      </c>
      <c r="H538" s="4" t="s">
        <v>517</v>
      </c>
      <c r="I538" s="4">
        <v>368.2</v>
      </c>
      <c r="J538" s="4" t="s">
        <v>191</v>
      </c>
      <c r="K538" s="4" t="s">
        <v>18</v>
      </c>
      <c r="L538">
        <v>0</v>
      </c>
      <c r="M538" s="9">
        <f t="shared" si="53"/>
        <v>460.27570035999997</v>
      </c>
      <c r="N538">
        <v>0</v>
      </c>
      <c r="O538" s="9">
        <v>0</v>
      </c>
      <c r="P538" s="9">
        <f t="shared" si="54"/>
        <v>-460.27570035999997</v>
      </c>
      <c r="Q538" s="16">
        <f t="shared" ref="Q538:Q594" si="56">C538*1.21366</f>
        <v>460.27570035999997</v>
      </c>
    </row>
    <row r="539" spans="1:17" x14ac:dyDescent="0.25">
      <c r="A539" s="3">
        <v>76701080005</v>
      </c>
      <c r="B539" s="4" t="s">
        <v>1008</v>
      </c>
      <c r="C539" s="12">
        <f t="shared" si="55"/>
        <v>19.5288</v>
      </c>
      <c r="D539" s="4" t="s">
        <v>191</v>
      </c>
      <c r="E539" s="4" t="s">
        <v>14</v>
      </c>
      <c r="F539" s="4" t="s">
        <v>33</v>
      </c>
      <c r="G539" s="4" t="s">
        <v>34</v>
      </c>
      <c r="H539" s="4" t="s">
        <v>517</v>
      </c>
      <c r="I539" s="4">
        <v>18.96</v>
      </c>
      <c r="J539" s="4" t="s">
        <v>379</v>
      </c>
      <c r="K539" s="4" t="s">
        <v>18</v>
      </c>
      <c r="L539">
        <v>0</v>
      </c>
      <c r="M539" s="9">
        <f t="shared" si="53"/>
        <v>23.701323408</v>
      </c>
      <c r="N539">
        <v>0</v>
      </c>
      <c r="O539" s="9">
        <v>0</v>
      </c>
      <c r="P539" s="9">
        <f t="shared" si="54"/>
        <v>-23.701323408</v>
      </c>
      <c r="Q539" s="16">
        <f t="shared" si="56"/>
        <v>23.701323408</v>
      </c>
    </row>
    <row r="540" spans="1:17" x14ac:dyDescent="0.25">
      <c r="A540" s="3">
        <v>76701091008</v>
      </c>
      <c r="B540" s="4" t="s">
        <v>1009</v>
      </c>
      <c r="C540" s="12">
        <f t="shared" si="55"/>
        <v>98.345429999999993</v>
      </c>
      <c r="D540" s="4" t="s">
        <v>32</v>
      </c>
      <c r="E540" s="4" t="s">
        <v>14</v>
      </c>
      <c r="F540" s="4" t="s">
        <v>33</v>
      </c>
      <c r="G540" s="4" t="s">
        <v>34</v>
      </c>
      <c r="H540" s="4" t="s">
        <v>517</v>
      </c>
      <c r="I540" s="4">
        <v>95.480999999999995</v>
      </c>
      <c r="J540" s="4" t="s">
        <v>32</v>
      </c>
      <c r="K540" s="4" t="s">
        <v>18</v>
      </c>
      <c r="L540">
        <v>0</v>
      </c>
      <c r="M540" s="9">
        <f t="shared" si="53"/>
        <v>119.35791457379999</v>
      </c>
      <c r="N540">
        <v>0</v>
      </c>
      <c r="O540" s="9">
        <v>0</v>
      </c>
      <c r="P540" s="9">
        <f t="shared" si="54"/>
        <v>-119.35791457379999</v>
      </c>
      <c r="Q540" s="16">
        <f t="shared" si="56"/>
        <v>119.35791457379999</v>
      </c>
    </row>
    <row r="541" spans="1:17" x14ac:dyDescent="0.25">
      <c r="A541" s="3">
        <v>76701091009</v>
      </c>
      <c r="B541" s="4" t="s">
        <v>1010</v>
      </c>
      <c r="C541" s="12">
        <f t="shared" si="55"/>
        <v>127.849059</v>
      </c>
      <c r="D541" s="4" t="s">
        <v>32</v>
      </c>
      <c r="E541" s="4" t="s">
        <v>14</v>
      </c>
      <c r="F541" s="4" t="s">
        <v>33</v>
      </c>
      <c r="G541" s="4" t="s">
        <v>34</v>
      </c>
      <c r="H541" s="4" t="s">
        <v>517</v>
      </c>
      <c r="I541" s="4">
        <v>124.1253</v>
      </c>
      <c r="J541" s="4" t="s">
        <v>32</v>
      </c>
      <c r="K541" s="4" t="s">
        <v>18</v>
      </c>
      <c r="L541">
        <v>0</v>
      </c>
      <c r="M541" s="9">
        <f t="shared" si="53"/>
        <v>155.16528894593998</v>
      </c>
      <c r="N541">
        <v>0</v>
      </c>
      <c r="O541" s="9">
        <v>0</v>
      </c>
      <c r="P541" s="9">
        <f t="shared" si="54"/>
        <v>-155.16528894593998</v>
      </c>
      <c r="Q541" s="16">
        <f t="shared" si="56"/>
        <v>155.16528894593998</v>
      </c>
    </row>
    <row r="542" spans="1:17" x14ac:dyDescent="0.25">
      <c r="A542" s="3">
        <v>76701091010</v>
      </c>
      <c r="B542" s="4" t="s">
        <v>1011</v>
      </c>
      <c r="C542" s="12">
        <f t="shared" si="55"/>
        <v>415.23626000000002</v>
      </c>
      <c r="D542" s="4" t="s">
        <v>32</v>
      </c>
      <c r="E542" s="4" t="s">
        <v>14</v>
      </c>
      <c r="F542" s="4" t="s">
        <v>33</v>
      </c>
      <c r="G542" s="4" t="s">
        <v>34</v>
      </c>
      <c r="H542" s="4" t="s">
        <v>517</v>
      </c>
      <c r="I542" s="4">
        <v>403.142</v>
      </c>
      <c r="J542" s="4" t="s">
        <v>32</v>
      </c>
      <c r="K542" s="4" t="s">
        <v>18</v>
      </c>
      <c r="L542">
        <v>0</v>
      </c>
      <c r="M542" s="9">
        <f t="shared" si="53"/>
        <v>503.95563931160001</v>
      </c>
      <c r="N542">
        <v>0</v>
      </c>
      <c r="O542" s="9">
        <v>0</v>
      </c>
      <c r="P542" s="9">
        <f t="shared" si="54"/>
        <v>-503.95563931160001</v>
      </c>
      <c r="Q542" s="16">
        <f t="shared" si="56"/>
        <v>503.95563931160001</v>
      </c>
    </row>
    <row r="543" spans="1:17" x14ac:dyDescent="0.25">
      <c r="A543" s="3">
        <v>76701091011</v>
      </c>
      <c r="B543" s="4" t="s">
        <v>1012</v>
      </c>
      <c r="C543" s="12">
        <f t="shared" si="55"/>
        <v>66.656346999999997</v>
      </c>
      <c r="D543" s="4" t="s">
        <v>32</v>
      </c>
      <c r="E543" s="4" t="s">
        <v>14</v>
      </c>
      <c r="F543" s="4" t="s">
        <v>33</v>
      </c>
      <c r="G543" s="4" t="s">
        <v>34</v>
      </c>
      <c r="H543" s="4" t="s">
        <v>517</v>
      </c>
      <c r="I543" s="4">
        <v>64.7149</v>
      </c>
      <c r="J543" s="4" t="s">
        <v>13</v>
      </c>
      <c r="K543" s="4" t="s">
        <v>18</v>
      </c>
      <c r="L543">
        <v>0</v>
      </c>
      <c r="M543" s="9">
        <f t="shared" si="53"/>
        <v>80.898142100019996</v>
      </c>
      <c r="N543">
        <v>0</v>
      </c>
      <c r="O543" s="9">
        <v>0</v>
      </c>
      <c r="P543" s="9">
        <f t="shared" si="54"/>
        <v>-80.898142100019996</v>
      </c>
      <c r="Q543" s="16">
        <f t="shared" si="56"/>
        <v>80.898142100019996</v>
      </c>
    </row>
    <row r="544" spans="1:17" x14ac:dyDescent="0.25">
      <c r="A544" s="3">
        <v>76701108006</v>
      </c>
      <c r="B544" s="4" t="s">
        <v>1013</v>
      </c>
      <c r="C544" s="12">
        <f t="shared" si="55"/>
        <v>24.367812099999998</v>
      </c>
      <c r="D544" s="4" t="s">
        <v>383</v>
      </c>
      <c r="E544" s="4" t="s">
        <v>14</v>
      </c>
      <c r="F544" s="4" t="s">
        <v>33</v>
      </c>
      <c r="G544" s="4" t="s">
        <v>34</v>
      </c>
      <c r="H544" s="4" t="s">
        <v>517</v>
      </c>
      <c r="I544" s="4">
        <v>23.658069999999999</v>
      </c>
      <c r="J544" s="4" t="s">
        <v>13</v>
      </c>
      <c r="K544" s="4" t="s">
        <v>18</v>
      </c>
      <c r="L544">
        <v>0</v>
      </c>
      <c r="M544" s="9">
        <f t="shared" si="53"/>
        <v>29.574238833285996</v>
      </c>
      <c r="N544">
        <v>0</v>
      </c>
      <c r="O544" s="9">
        <v>0</v>
      </c>
      <c r="P544" s="9">
        <f t="shared" si="54"/>
        <v>-29.574238833285996</v>
      </c>
      <c r="Q544" s="16">
        <f t="shared" si="56"/>
        <v>29.574238833285996</v>
      </c>
    </row>
    <row r="545" spans="1:17" x14ac:dyDescent="0.25">
      <c r="A545" s="3">
        <v>76701105011</v>
      </c>
      <c r="B545" s="4" t="s">
        <v>1014</v>
      </c>
      <c r="C545" s="12">
        <f t="shared" si="55"/>
        <v>2.4039994</v>
      </c>
      <c r="D545" s="4" t="s">
        <v>191</v>
      </c>
      <c r="E545" s="4" t="s">
        <v>14</v>
      </c>
      <c r="F545" s="4" t="s">
        <v>33</v>
      </c>
      <c r="G545" s="4" t="s">
        <v>34</v>
      </c>
      <c r="H545" s="4" t="s">
        <v>517</v>
      </c>
      <c r="I545" s="4">
        <v>2.3339799999999999</v>
      </c>
      <c r="J545" s="4" t="s">
        <v>379</v>
      </c>
      <c r="K545" s="4" t="s">
        <v>18</v>
      </c>
      <c r="L545">
        <v>0</v>
      </c>
      <c r="M545" s="9">
        <f t="shared" si="53"/>
        <v>2.9176379118039999</v>
      </c>
      <c r="N545">
        <v>0</v>
      </c>
      <c r="O545" s="9">
        <v>0</v>
      </c>
      <c r="P545" s="9">
        <f t="shared" si="54"/>
        <v>-2.9176379118039999</v>
      </c>
      <c r="Q545" s="16">
        <f t="shared" si="56"/>
        <v>2.9176379118039999</v>
      </c>
    </row>
    <row r="546" spans="1:17" x14ac:dyDescent="0.25">
      <c r="A546" s="3">
        <v>76701100007</v>
      </c>
      <c r="B546" s="4" t="s">
        <v>1015</v>
      </c>
      <c r="C546" s="12">
        <f t="shared" si="55"/>
        <v>25.154575540000003</v>
      </c>
      <c r="D546" s="4" t="s">
        <v>32</v>
      </c>
      <c r="E546" s="4" t="s">
        <v>14</v>
      </c>
      <c r="F546" s="4" t="s">
        <v>33</v>
      </c>
      <c r="G546" s="4" t="s">
        <v>34</v>
      </c>
      <c r="H546" s="4" t="s">
        <v>517</v>
      </c>
      <c r="I546" s="4">
        <v>24.421918000000002</v>
      </c>
      <c r="J546" s="4" t="s">
        <v>32</v>
      </c>
      <c r="K546" s="4" t="s">
        <v>18</v>
      </c>
      <c r="L546">
        <v>0</v>
      </c>
      <c r="M546" s="9">
        <f t="shared" si="53"/>
        <v>30.529102149876405</v>
      </c>
      <c r="N546">
        <v>0</v>
      </c>
      <c r="O546" s="9">
        <v>0</v>
      </c>
      <c r="P546" s="9">
        <f t="shared" si="54"/>
        <v>-30.529102149876405</v>
      </c>
      <c r="Q546" s="16">
        <f t="shared" si="56"/>
        <v>30.529102149876405</v>
      </c>
    </row>
    <row r="547" spans="1:17" x14ac:dyDescent="0.25">
      <c r="A547" s="3">
        <v>76701100008</v>
      </c>
      <c r="B547" s="4" t="s">
        <v>1016</v>
      </c>
      <c r="C547" s="12">
        <f t="shared" si="55"/>
        <v>0</v>
      </c>
      <c r="D547" s="4" t="s">
        <v>32</v>
      </c>
      <c r="E547" s="4" t="s">
        <v>14</v>
      </c>
      <c r="F547" s="4" t="s">
        <v>33</v>
      </c>
      <c r="G547" s="4" t="s">
        <v>34</v>
      </c>
      <c r="H547" s="4" t="s">
        <v>517</v>
      </c>
      <c r="I547" s="4"/>
      <c r="J547" s="4" t="s">
        <v>32</v>
      </c>
      <c r="K547" s="4" t="s">
        <v>18</v>
      </c>
      <c r="L547">
        <v>0</v>
      </c>
      <c r="M547" s="9">
        <f t="shared" si="53"/>
        <v>0</v>
      </c>
      <c r="N547">
        <v>0</v>
      </c>
      <c r="O547" s="9">
        <v>0</v>
      </c>
      <c r="P547" s="9">
        <f t="shared" si="54"/>
        <v>0</v>
      </c>
      <c r="Q547" s="16">
        <f t="shared" si="56"/>
        <v>0</v>
      </c>
    </row>
    <row r="548" spans="1:17" x14ac:dyDescent="0.25">
      <c r="A548" s="3">
        <v>76701005005</v>
      </c>
      <c r="B548" s="4" t="s">
        <v>1017</v>
      </c>
      <c r="C548" s="12">
        <f t="shared" si="55"/>
        <v>8.4139979</v>
      </c>
      <c r="D548" s="4" t="s">
        <v>191</v>
      </c>
      <c r="E548" s="4" t="s">
        <v>14</v>
      </c>
      <c r="F548" s="4" t="s">
        <v>33</v>
      </c>
      <c r="G548" s="4" t="s">
        <v>34</v>
      </c>
      <c r="H548" s="4" t="s">
        <v>517</v>
      </c>
      <c r="I548" s="4">
        <v>8.1689299999999996</v>
      </c>
      <c r="J548" s="4" t="s">
        <v>379</v>
      </c>
      <c r="K548" s="4" t="s">
        <v>18</v>
      </c>
      <c r="L548">
        <v>0</v>
      </c>
      <c r="M548" s="9">
        <f t="shared" si="53"/>
        <v>10.211732691313999</v>
      </c>
      <c r="N548">
        <v>0</v>
      </c>
      <c r="O548" s="9">
        <v>0</v>
      </c>
      <c r="P548" s="9">
        <f t="shared" si="54"/>
        <v>-10.211732691313999</v>
      </c>
      <c r="Q548" s="16">
        <f t="shared" si="56"/>
        <v>10.211732691313999</v>
      </c>
    </row>
    <row r="549" spans="1:17" x14ac:dyDescent="0.25">
      <c r="A549" s="3">
        <v>76701105013</v>
      </c>
      <c r="B549" s="4" t="s">
        <v>1018</v>
      </c>
      <c r="C549" s="12">
        <f t="shared" si="55"/>
        <v>4.98130454</v>
      </c>
      <c r="D549" s="4" t="s">
        <v>191</v>
      </c>
      <c r="E549" s="4" t="s">
        <v>14</v>
      </c>
      <c r="F549" s="4" t="s">
        <v>33</v>
      </c>
      <c r="G549" s="4" t="s">
        <v>34</v>
      </c>
      <c r="H549" s="4" t="s">
        <v>517</v>
      </c>
      <c r="I549" s="4">
        <v>4.8362179999999997</v>
      </c>
      <c r="J549" s="4" t="s">
        <v>379</v>
      </c>
      <c r="K549" s="4" t="s">
        <v>18</v>
      </c>
      <c r="L549">
        <v>0</v>
      </c>
      <c r="M549" s="9">
        <f t="shared" si="53"/>
        <v>6.0456100680163996</v>
      </c>
      <c r="N549">
        <v>0</v>
      </c>
      <c r="O549" s="9">
        <v>0</v>
      </c>
      <c r="P549" s="9">
        <f t="shared" si="54"/>
        <v>-6.0456100680163996</v>
      </c>
      <c r="Q549" s="16">
        <f t="shared" si="56"/>
        <v>6.0456100680163996</v>
      </c>
    </row>
    <row r="550" spans="1:17" x14ac:dyDescent="0.25">
      <c r="A550" s="3">
        <v>76701105012</v>
      </c>
      <c r="B550" s="4" t="s">
        <v>1019</v>
      </c>
      <c r="C550" s="12">
        <f t="shared" si="55"/>
        <v>4.7559848299999992</v>
      </c>
      <c r="D550" s="4" t="s">
        <v>191</v>
      </c>
      <c r="E550" s="4" t="s">
        <v>14</v>
      </c>
      <c r="F550" s="4" t="s">
        <v>33</v>
      </c>
      <c r="G550" s="4" t="s">
        <v>34</v>
      </c>
      <c r="H550" s="4" t="s">
        <v>517</v>
      </c>
      <c r="I550" s="4">
        <v>4.6174609999999996</v>
      </c>
      <c r="J550" s="4" t="s">
        <v>379</v>
      </c>
      <c r="K550" s="4" t="s">
        <v>18</v>
      </c>
      <c r="L550">
        <v>0</v>
      </c>
      <c r="M550" s="9">
        <f t="shared" si="53"/>
        <v>5.7721485487777988</v>
      </c>
      <c r="N550">
        <v>0</v>
      </c>
      <c r="O550" s="9">
        <v>0</v>
      </c>
      <c r="P550" s="9">
        <f t="shared" si="54"/>
        <v>-5.7721485487777988</v>
      </c>
      <c r="Q550" s="16">
        <f t="shared" si="56"/>
        <v>5.7721485487777988</v>
      </c>
    </row>
    <row r="551" spans="1:17" x14ac:dyDescent="0.25">
      <c r="A551" s="3" t="s">
        <v>1020</v>
      </c>
      <c r="B551" s="4" t="s">
        <v>1021</v>
      </c>
      <c r="C551" s="12">
        <v>61.9</v>
      </c>
      <c r="D551" s="4" t="s">
        <v>32</v>
      </c>
      <c r="E551" s="4" t="s">
        <v>14</v>
      </c>
      <c r="F551" s="4" t="s">
        <v>33</v>
      </c>
      <c r="G551" s="4" t="s">
        <v>34</v>
      </c>
      <c r="H551" s="4" t="s">
        <v>265</v>
      </c>
      <c r="I551" s="4">
        <v>60.1</v>
      </c>
      <c r="J551" s="4" t="s">
        <v>32</v>
      </c>
      <c r="K551" s="4" t="s">
        <v>18</v>
      </c>
      <c r="L551" t="s">
        <v>1020</v>
      </c>
      <c r="M551" s="9">
        <f t="shared" si="53"/>
        <v>75.125553999999994</v>
      </c>
      <c r="N551">
        <v>0</v>
      </c>
      <c r="O551" s="9">
        <v>0</v>
      </c>
      <c r="P551" s="9">
        <f t="shared" si="54"/>
        <v>-75.125553999999994</v>
      </c>
      <c r="Q551" s="16">
        <f t="shared" si="56"/>
        <v>75.125553999999994</v>
      </c>
    </row>
    <row r="552" spans="1:17" x14ac:dyDescent="0.25">
      <c r="A552" s="3" t="s">
        <v>1022</v>
      </c>
      <c r="B552" s="4" t="s">
        <v>1023</v>
      </c>
      <c r="C552" s="12">
        <v>113.43</v>
      </c>
      <c r="D552" s="4" t="s">
        <v>111</v>
      </c>
      <c r="E552" s="4" t="s">
        <v>14</v>
      </c>
      <c r="F552" s="4" t="s">
        <v>33</v>
      </c>
      <c r="G552" s="4" t="s">
        <v>34</v>
      </c>
      <c r="H552" s="4" t="s">
        <v>489</v>
      </c>
      <c r="I552" s="4">
        <v>110.13</v>
      </c>
      <c r="J552" s="4" t="s">
        <v>111</v>
      </c>
      <c r="K552" s="4" t="s">
        <v>18</v>
      </c>
      <c r="L552" t="s">
        <v>1022</v>
      </c>
      <c r="M552" s="9">
        <f t="shared" si="53"/>
        <v>137.66545379999999</v>
      </c>
      <c r="N552">
        <v>0</v>
      </c>
      <c r="O552" s="9">
        <v>0</v>
      </c>
      <c r="P552" s="9">
        <f t="shared" si="54"/>
        <v>-137.66545379999999</v>
      </c>
      <c r="Q552" s="16">
        <f t="shared" si="56"/>
        <v>137.66545379999999</v>
      </c>
    </row>
    <row r="553" spans="1:17" x14ac:dyDescent="0.25">
      <c r="A553" s="3" t="s">
        <v>1024</v>
      </c>
      <c r="B553" s="4" t="s">
        <v>1025</v>
      </c>
      <c r="C553" s="12">
        <f>I553*3%+I553</f>
        <v>1405.95</v>
      </c>
      <c r="D553" s="4" t="s">
        <v>13</v>
      </c>
      <c r="E553" s="4" t="s">
        <v>23</v>
      </c>
      <c r="F553" s="4" t="s">
        <v>49</v>
      </c>
      <c r="G553" s="4" t="s">
        <v>50</v>
      </c>
      <c r="H553" s="4" t="s">
        <v>50</v>
      </c>
      <c r="I553" s="4">
        <v>1365</v>
      </c>
      <c r="J553" s="4" t="s">
        <v>13</v>
      </c>
      <c r="K553" s="4" t="s">
        <v>18</v>
      </c>
      <c r="L553" t="s">
        <v>1024</v>
      </c>
      <c r="M553" s="9">
        <f t="shared" si="53"/>
        <v>1706.3452769999999</v>
      </c>
      <c r="N553">
        <v>0</v>
      </c>
      <c r="O553" s="9">
        <v>0</v>
      </c>
      <c r="P553" s="9">
        <f t="shared" si="54"/>
        <v>-1706.3452769999999</v>
      </c>
      <c r="Q553" s="16">
        <f t="shared" si="56"/>
        <v>1706.3452769999999</v>
      </c>
    </row>
    <row r="554" spans="1:17" x14ac:dyDescent="0.25">
      <c r="A554" s="3" t="s">
        <v>1026</v>
      </c>
      <c r="B554" s="4" t="s">
        <v>1027</v>
      </c>
      <c r="C554" s="12">
        <f>I554*3%+I554</f>
        <v>90.073499999999996</v>
      </c>
      <c r="D554" s="4" t="s">
        <v>111</v>
      </c>
      <c r="E554" s="4" t="s">
        <v>14</v>
      </c>
      <c r="F554" s="4" t="s">
        <v>131</v>
      </c>
      <c r="G554" s="4" t="s">
        <v>132</v>
      </c>
      <c r="H554" s="4" t="s">
        <v>594</v>
      </c>
      <c r="I554" s="4">
        <v>87.45</v>
      </c>
      <c r="J554" s="4" t="s">
        <v>111</v>
      </c>
      <c r="K554" s="4" t="s">
        <v>18</v>
      </c>
      <c r="L554" t="s">
        <v>1026</v>
      </c>
      <c r="M554" s="9">
        <f t="shared" si="53"/>
        <v>109.31860400999999</v>
      </c>
      <c r="N554">
        <v>0</v>
      </c>
      <c r="O554" s="9">
        <v>0</v>
      </c>
      <c r="P554" s="9">
        <f t="shared" si="54"/>
        <v>-109.31860400999999</v>
      </c>
      <c r="Q554" s="16">
        <f t="shared" si="56"/>
        <v>109.31860400999999</v>
      </c>
    </row>
    <row r="555" spans="1:17" x14ac:dyDescent="0.25">
      <c r="A555" s="3" t="s">
        <v>1028</v>
      </c>
      <c r="B555" s="4" t="s">
        <v>1029</v>
      </c>
      <c r="C555" s="12">
        <v>70.650000000000006</v>
      </c>
      <c r="D555" s="4" t="s">
        <v>13</v>
      </c>
      <c r="E555" s="4" t="s">
        <v>14</v>
      </c>
      <c r="F555" s="4" t="s">
        <v>33</v>
      </c>
      <c r="G555" s="4" t="s">
        <v>34</v>
      </c>
      <c r="H555" s="4" t="s">
        <v>35</v>
      </c>
      <c r="I555" s="4">
        <v>68.59</v>
      </c>
      <c r="J555" s="4" t="s">
        <v>13</v>
      </c>
      <c r="K555" s="4" t="s">
        <v>18</v>
      </c>
      <c r="L555" t="s">
        <v>1028</v>
      </c>
      <c r="M555" s="9">
        <f t="shared" si="53"/>
        <v>85.745079000000004</v>
      </c>
      <c r="N555" t="s">
        <v>1028</v>
      </c>
      <c r="O555" s="9">
        <v>85.737200000000001</v>
      </c>
      <c r="P555" s="9">
        <f t="shared" si="54"/>
        <v>-7.8790000000026339E-3</v>
      </c>
      <c r="Q555" s="16">
        <f t="shared" si="56"/>
        <v>85.745079000000004</v>
      </c>
    </row>
    <row r="556" spans="1:17" x14ac:dyDescent="0.25">
      <c r="A556" s="3" t="s">
        <v>1030</v>
      </c>
      <c r="B556" s="4" t="s">
        <v>1031</v>
      </c>
      <c r="C556" s="12">
        <f>I556*3%+I556</f>
        <v>18.54</v>
      </c>
      <c r="D556" s="4" t="s">
        <v>13</v>
      </c>
      <c r="E556" s="4" t="s">
        <v>14</v>
      </c>
      <c r="F556" s="4" t="s">
        <v>33</v>
      </c>
      <c r="G556" s="4" t="s">
        <v>34</v>
      </c>
      <c r="H556" s="4" t="s">
        <v>35</v>
      </c>
      <c r="I556" s="4">
        <v>18</v>
      </c>
      <c r="J556" s="4" t="s">
        <v>13</v>
      </c>
      <c r="K556" s="4" t="s">
        <v>18</v>
      </c>
      <c r="L556" t="s">
        <v>1030</v>
      </c>
      <c r="M556" s="9">
        <f t="shared" si="53"/>
        <v>22.501256399999999</v>
      </c>
      <c r="N556">
        <v>0</v>
      </c>
      <c r="O556" s="9">
        <v>0</v>
      </c>
      <c r="P556" s="9">
        <f t="shared" si="54"/>
        <v>-22.501256399999999</v>
      </c>
      <c r="Q556" s="16">
        <f t="shared" si="56"/>
        <v>22.501256399999999</v>
      </c>
    </row>
    <row r="557" spans="1:17" x14ac:dyDescent="0.25">
      <c r="A557" s="3" t="s">
        <v>1032</v>
      </c>
      <c r="B557" s="4" t="s">
        <v>1033</v>
      </c>
      <c r="C557" s="12">
        <v>23.79</v>
      </c>
      <c r="D557" s="4" t="s">
        <v>13</v>
      </c>
      <c r="E557" s="4" t="s">
        <v>14</v>
      </c>
      <c r="F557" s="4" t="s">
        <v>33</v>
      </c>
      <c r="G557" s="4" t="s">
        <v>34</v>
      </c>
      <c r="H557" s="4" t="s">
        <v>35</v>
      </c>
      <c r="I557" s="4">
        <v>23.1</v>
      </c>
      <c r="J557" s="4" t="s">
        <v>13</v>
      </c>
      <c r="K557" s="4" t="s">
        <v>18</v>
      </c>
      <c r="L557" t="s">
        <v>1032</v>
      </c>
      <c r="M557" s="9">
        <f t="shared" si="53"/>
        <v>28.872971399999997</v>
      </c>
      <c r="N557" t="s">
        <v>1032</v>
      </c>
      <c r="O557" s="9">
        <v>28.8812</v>
      </c>
      <c r="P557" s="9">
        <f t="shared" si="54"/>
        <v>8.2286000000024728E-3</v>
      </c>
      <c r="Q557" s="16">
        <f t="shared" si="56"/>
        <v>28.872971399999997</v>
      </c>
    </row>
    <row r="558" spans="1:17" x14ac:dyDescent="0.25">
      <c r="A558" s="3" t="s">
        <v>1034</v>
      </c>
      <c r="B558" s="4" t="s">
        <v>1035</v>
      </c>
      <c r="C558" s="12">
        <v>7.07</v>
      </c>
      <c r="D558" s="4" t="s">
        <v>13</v>
      </c>
      <c r="E558" s="4" t="s">
        <v>14</v>
      </c>
      <c r="F558" s="4" t="s">
        <v>33</v>
      </c>
      <c r="G558" s="4" t="s">
        <v>34</v>
      </c>
      <c r="H558" s="4" t="s">
        <v>35</v>
      </c>
      <c r="I558" s="4">
        <v>6.86</v>
      </c>
      <c r="J558" s="4" t="s">
        <v>13</v>
      </c>
      <c r="K558" s="4" t="s">
        <v>18</v>
      </c>
      <c r="L558" t="s">
        <v>1034</v>
      </c>
      <c r="M558" s="9">
        <f t="shared" si="53"/>
        <v>8.5805761999999994</v>
      </c>
      <c r="N558" t="s">
        <v>1034</v>
      </c>
      <c r="O558" s="9">
        <v>8.5799000000000003</v>
      </c>
      <c r="P558" s="9">
        <f t="shared" si="54"/>
        <v>-6.761999999991275E-4</v>
      </c>
      <c r="Q558" s="16">
        <f t="shared" si="56"/>
        <v>8.5805761999999994</v>
      </c>
    </row>
    <row r="559" spans="1:17" x14ac:dyDescent="0.25">
      <c r="A559" s="3" t="s">
        <v>1036</v>
      </c>
      <c r="B559" s="4" t="s">
        <v>1037</v>
      </c>
      <c r="C559" s="12">
        <v>15.54</v>
      </c>
      <c r="D559" s="4" t="s">
        <v>13</v>
      </c>
      <c r="E559" s="4" t="s">
        <v>14</v>
      </c>
      <c r="F559" s="4" t="s">
        <v>33</v>
      </c>
      <c r="G559" s="4" t="s">
        <v>34</v>
      </c>
      <c r="H559" s="4" t="s">
        <v>35</v>
      </c>
      <c r="I559" s="4">
        <v>15.09</v>
      </c>
      <c r="J559" s="4" t="s">
        <v>13</v>
      </c>
      <c r="K559" s="4" t="s">
        <v>18</v>
      </c>
      <c r="L559" t="s">
        <v>1036</v>
      </c>
      <c r="M559" s="9">
        <f t="shared" si="53"/>
        <v>18.8602764</v>
      </c>
      <c r="N559" t="s">
        <v>1036</v>
      </c>
      <c r="O559" s="9">
        <v>18.859300000000001</v>
      </c>
      <c r="P559" s="9">
        <f t="shared" si="54"/>
        <v>-9.7639999999898919E-4</v>
      </c>
      <c r="Q559" s="16">
        <f t="shared" si="56"/>
        <v>18.8602764</v>
      </c>
    </row>
    <row r="560" spans="1:17" x14ac:dyDescent="0.25">
      <c r="A560" s="3" t="s">
        <v>1038</v>
      </c>
      <c r="B560" s="4" t="s">
        <v>1039</v>
      </c>
      <c r="C560" s="12">
        <v>22.4</v>
      </c>
      <c r="D560" s="4" t="s">
        <v>13</v>
      </c>
      <c r="E560" s="4" t="s">
        <v>14</v>
      </c>
      <c r="F560" s="4" t="s">
        <v>33</v>
      </c>
      <c r="G560" s="4" t="s">
        <v>34</v>
      </c>
      <c r="H560" s="4" t="s">
        <v>35</v>
      </c>
      <c r="I560" s="4">
        <v>21.74</v>
      </c>
      <c r="J560" s="4" t="s">
        <v>13</v>
      </c>
      <c r="K560" s="4" t="s">
        <v>18</v>
      </c>
      <c r="L560" t="s">
        <v>1038</v>
      </c>
      <c r="M560" s="9">
        <f t="shared" si="53"/>
        <v>27.185983999999998</v>
      </c>
      <c r="N560" t="s">
        <v>1038</v>
      </c>
      <c r="O560" s="9">
        <v>27.171399999999998</v>
      </c>
      <c r="P560" s="9">
        <f t="shared" si="54"/>
        <v>-1.4583999999999264E-2</v>
      </c>
      <c r="Q560" s="16">
        <f t="shared" si="56"/>
        <v>27.185983999999998</v>
      </c>
    </row>
    <row r="561" spans="1:17" x14ac:dyDescent="0.25">
      <c r="A561" s="3" t="s">
        <v>1040</v>
      </c>
      <c r="B561" s="4" t="s">
        <v>1041</v>
      </c>
      <c r="C561" s="12">
        <f>I561*3%+I561</f>
        <v>4.6864999999999997</v>
      </c>
      <c r="D561" s="4" t="s">
        <v>13</v>
      </c>
      <c r="E561" s="4" t="s">
        <v>14</v>
      </c>
      <c r="F561" s="4" t="s">
        <v>33</v>
      </c>
      <c r="G561" s="4" t="s">
        <v>34</v>
      </c>
      <c r="H561" s="4" t="s">
        <v>35</v>
      </c>
      <c r="I561" s="4">
        <v>4.55</v>
      </c>
      <c r="J561" s="4" t="s">
        <v>13</v>
      </c>
      <c r="K561" s="4" t="s">
        <v>18</v>
      </c>
      <c r="L561" t="s">
        <v>1040</v>
      </c>
      <c r="M561" s="9">
        <f t="shared" si="53"/>
        <v>5.687817589999999</v>
      </c>
      <c r="N561" t="s">
        <v>1040</v>
      </c>
      <c r="O561" s="9">
        <v>2.266</v>
      </c>
      <c r="P561" s="9">
        <f t="shared" si="54"/>
        <v>-3.421817589999999</v>
      </c>
      <c r="Q561" s="16">
        <f t="shared" si="56"/>
        <v>5.687817589999999</v>
      </c>
    </row>
    <row r="562" spans="1:17" x14ac:dyDescent="0.25">
      <c r="A562" s="3" t="s">
        <v>1042</v>
      </c>
      <c r="B562" s="4" t="s">
        <v>1043</v>
      </c>
      <c r="C562" s="12">
        <f t="shared" ref="C562:C565" si="57">I562*3%+I562</f>
        <v>63.1870598</v>
      </c>
      <c r="D562" s="4" t="s">
        <v>191</v>
      </c>
      <c r="E562" s="4" t="s">
        <v>14</v>
      </c>
      <c r="F562" s="4" t="s">
        <v>33</v>
      </c>
      <c r="G562" s="4" t="s">
        <v>34</v>
      </c>
      <c r="H562" s="4" t="s">
        <v>270</v>
      </c>
      <c r="I562" s="4">
        <v>61.34666</v>
      </c>
      <c r="J562" s="4" t="s">
        <v>379</v>
      </c>
      <c r="K562" s="4" t="s">
        <v>18</v>
      </c>
      <c r="L562">
        <v>0</v>
      </c>
      <c r="M562" s="9">
        <f t="shared" si="53"/>
        <v>76.687606996867999</v>
      </c>
      <c r="N562">
        <v>0</v>
      </c>
      <c r="O562" s="9">
        <v>0</v>
      </c>
      <c r="P562" s="9">
        <f t="shared" si="54"/>
        <v>-76.687606996867999</v>
      </c>
      <c r="Q562" s="16">
        <f t="shared" si="56"/>
        <v>76.687606996867999</v>
      </c>
    </row>
    <row r="563" spans="1:17" x14ac:dyDescent="0.25">
      <c r="A563" s="3" t="s">
        <v>1044</v>
      </c>
      <c r="B563" s="4" t="s">
        <v>1045</v>
      </c>
      <c r="C563" s="12">
        <f t="shared" si="57"/>
        <v>87.034999999999997</v>
      </c>
      <c r="D563" s="4" t="s">
        <v>32</v>
      </c>
      <c r="E563" s="4" t="s">
        <v>14</v>
      </c>
      <c r="F563" s="4" t="s">
        <v>44</v>
      </c>
      <c r="G563" s="4" t="s">
        <v>45</v>
      </c>
      <c r="H563" s="4" t="s">
        <v>23</v>
      </c>
      <c r="I563" s="4">
        <v>84.5</v>
      </c>
      <c r="J563" s="4" t="s">
        <v>32</v>
      </c>
      <c r="K563" s="4" t="s">
        <v>18</v>
      </c>
      <c r="L563" t="s">
        <v>1044</v>
      </c>
      <c r="M563" s="9">
        <f t="shared" si="53"/>
        <v>105.6308981</v>
      </c>
      <c r="N563">
        <v>0</v>
      </c>
      <c r="O563" s="9">
        <v>0</v>
      </c>
      <c r="P563" s="9">
        <f t="shared" si="54"/>
        <v>-105.6308981</v>
      </c>
      <c r="Q563" s="16">
        <f t="shared" si="56"/>
        <v>105.6308981</v>
      </c>
    </row>
    <row r="564" spans="1:17" x14ac:dyDescent="0.25">
      <c r="A564" s="3" t="s">
        <v>1046</v>
      </c>
      <c r="B564" s="4" t="s">
        <v>1047</v>
      </c>
      <c r="C564" s="12">
        <f t="shared" si="57"/>
        <v>0</v>
      </c>
      <c r="D564" s="4" t="s">
        <v>13</v>
      </c>
      <c r="E564" s="4" t="s">
        <v>23</v>
      </c>
      <c r="F564" s="4" t="s">
        <v>49</v>
      </c>
      <c r="G564" s="4" t="s">
        <v>50</v>
      </c>
      <c r="H564" s="4" t="s">
        <v>50</v>
      </c>
      <c r="I564" s="4">
        <v>0</v>
      </c>
      <c r="J564" s="4" t="s">
        <v>13</v>
      </c>
      <c r="K564" s="4" t="s">
        <v>18</v>
      </c>
      <c r="L564" t="s">
        <v>1046</v>
      </c>
      <c r="M564" s="9">
        <f t="shared" si="53"/>
        <v>0</v>
      </c>
      <c r="N564">
        <v>0</v>
      </c>
      <c r="O564" s="9">
        <v>0</v>
      </c>
      <c r="P564" s="9">
        <f t="shared" si="54"/>
        <v>0</v>
      </c>
      <c r="Q564" s="16">
        <f t="shared" si="56"/>
        <v>0</v>
      </c>
    </row>
    <row r="565" spans="1:17" x14ac:dyDescent="0.25">
      <c r="A565" s="3" t="s">
        <v>1048</v>
      </c>
      <c r="B565" s="4" t="s">
        <v>1049</v>
      </c>
      <c r="C565" s="12">
        <f t="shared" si="57"/>
        <v>53.693899999999999</v>
      </c>
      <c r="D565" s="4" t="s">
        <v>242</v>
      </c>
      <c r="E565" s="4" t="s">
        <v>1050</v>
      </c>
      <c r="F565" s="4" t="s">
        <v>1051</v>
      </c>
      <c r="G565" s="4" t="s">
        <v>1050</v>
      </c>
      <c r="H565" s="4" t="s">
        <v>1052</v>
      </c>
      <c r="I565" s="4">
        <v>52.13</v>
      </c>
      <c r="J565" s="4" t="s">
        <v>242</v>
      </c>
      <c r="K565" s="4" t="s">
        <v>18</v>
      </c>
      <c r="L565" t="s">
        <v>1048</v>
      </c>
      <c r="M565" s="9">
        <f t="shared" si="53"/>
        <v>65.166138673999995</v>
      </c>
      <c r="N565">
        <v>0</v>
      </c>
      <c r="O565" s="9">
        <v>0</v>
      </c>
      <c r="P565" s="9">
        <f t="shared" si="54"/>
        <v>-65.166138673999995</v>
      </c>
      <c r="Q565" s="16">
        <f t="shared" si="56"/>
        <v>65.166138673999995</v>
      </c>
    </row>
    <row r="566" spans="1:17" x14ac:dyDescent="0.25">
      <c r="A566" s="3" t="s">
        <v>1053</v>
      </c>
      <c r="B566" s="4" t="s">
        <v>1054</v>
      </c>
      <c r="C566" s="12">
        <v>216.3</v>
      </c>
      <c r="D566" s="4" t="s">
        <v>111</v>
      </c>
      <c r="E566" s="4" t="s">
        <v>14</v>
      </c>
      <c r="F566" s="4" t="s">
        <v>33</v>
      </c>
      <c r="G566" s="4" t="s">
        <v>34</v>
      </c>
      <c r="H566" s="4" t="s">
        <v>155</v>
      </c>
      <c r="I566" s="4">
        <v>61</v>
      </c>
      <c r="J566" s="4" t="s">
        <v>111</v>
      </c>
      <c r="K566" s="4" t="s">
        <v>18</v>
      </c>
      <c r="L566" t="s">
        <v>1053</v>
      </c>
      <c r="M566" s="9">
        <f t="shared" si="53"/>
        <v>262.514658</v>
      </c>
      <c r="N566">
        <v>0</v>
      </c>
      <c r="O566" s="9">
        <v>0</v>
      </c>
      <c r="P566" s="9">
        <f t="shared" si="54"/>
        <v>-262.514658</v>
      </c>
      <c r="Q566" s="16">
        <f t="shared" si="56"/>
        <v>262.514658</v>
      </c>
    </row>
    <row r="567" spans="1:17" x14ac:dyDescent="0.25">
      <c r="A567" s="3" t="s">
        <v>1055</v>
      </c>
      <c r="B567" s="4" t="s">
        <v>1056</v>
      </c>
      <c r="C567" s="12">
        <v>77.25</v>
      </c>
      <c r="D567" s="4" t="s">
        <v>191</v>
      </c>
      <c r="E567" s="4" t="s">
        <v>14</v>
      </c>
      <c r="F567" s="4" t="s">
        <v>33</v>
      </c>
      <c r="G567" s="4" t="s">
        <v>34</v>
      </c>
      <c r="H567" s="4" t="s">
        <v>155</v>
      </c>
      <c r="I567" s="4">
        <v>155</v>
      </c>
      <c r="J567" s="4" t="s">
        <v>191</v>
      </c>
      <c r="K567" s="4" t="s">
        <v>18</v>
      </c>
      <c r="L567" t="s">
        <v>1055</v>
      </c>
      <c r="M567" s="9">
        <f t="shared" si="53"/>
        <v>93.755234999999999</v>
      </c>
      <c r="N567">
        <v>0</v>
      </c>
      <c r="O567" s="9">
        <v>0</v>
      </c>
      <c r="P567" s="9">
        <f t="shared" si="54"/>
        <v>-93.755234999999999</v>
      </c>
      <c r="Q567" s="16">
        <f t="shared" si="56"/>
        <v>93.755234999999999</v>
      </c>
    </row>
    <row r="568" spans="1:17" x14ac:dyDescent="0.25">
      <c r="A568" s="3" t="s">
        <v>1057</v>
      </c>
      <c r="B568" s="4" t="s">
        <v>1058</v>
      </c>
      <c r="C568" s="12">
        <f>I568*3%+I568</f>
        <v>17.252500000000001</v>
      </c>
      <c r="D568" s="4" t="s">
        <v>32</v>
      </c>
      <c r="E568" s="4" t="s">
        <v>14</v>
      </c>
      <c r="F568" s="4" t="s">
        <v>15</v>
      </c>
      <c r="G568" s="4" t="s">
        <v>16</v>
      </c>
      <c r="H568" s="4" t="s">
        <v>17</v>
      </c>
      <c r="I568" s="4">
        <v>16.75</v>
      </c>
      <c r="J568" s="4" t="s">
        <v>32</v>
      </c>
      <c r="K568" s="4" t="s">
        <v>18</v>
      </c>
      <c r="L568" t="s">
        <v>1057</v>
      </c>
      <c r="M568" s="9">
        <f t="shared" si="53"/>
        <v>20.938669150000003</v>
      </c>
      <c r="N568">
        <v>0</v>
      </c>
      <c r="O568" s="9">
        <v>0</v>
      </c>
      <c r="P568" s="9">
        <f t="shared" si="54"/>
        <v>-20.938669150000003</v>
      </c>
      <c r="Q568" s="16">
        <f t="shared" si="56"/>
        <v>20.938669150000003</v>
      </c>
    </row>
    <row r="569" spans="1:17" x14ac:dyDescent="0.25">
      <c r="A569" s="3" t="s">
        <v>1059</v>
      </c>
      <c r="B569" s="4" t="s">
        <v>1060</v>
      </c>
      <c r="C569" s="12">
        <f>I569*3%+I569</f>
        <v>15.141</v>
      </c>
      <c r="D569" s="4" t="s">
        <v>13</v>
      </c>
      <c r="E569" s="4" t="s">
        <v>14</v>
      </c>
      <c r="F569" s="4" t="s">
        <v>33</v>
      </c>
      <c r="G569" s="4" t="s">
        <v>34</v>
      </c>
      <c r="H569" s="4" t="s">
        <v>35</v>
      </c>
      <c r="I569" s="4">
        <v>14.7</v>
      </c>
      <c r="J569" s="4" t="s">
        <v>13</v>
      </c>
      <c r="K569" s="4" t="s">
        <v>18</v>
      </c>
      <c r="L569" t="s">
        <v>1059</v>
      </c>
      <c r="M569" s="9">
        <f t="shared" si="53"/>
        <v>18.376026060000001</v>
      </c>
      <c r="N569" t="s">
        <v>1059</v>
      </c>
      <c r="O569" s="9">
        <v>18.3752</v>
      </c>
      <c r="P569" s="9">
        <f t="shared" si="54"/>
        <v>-8.2606000000140511E-4</v>
      </c>
      <c r="Q569" s="16">
        <f t="shared" si="56"/>
        <v>18.376026060000001</v>
      </c>
    </row>
    <row r="570" spans="1:17" x14ac:dyDescent="0.25">
      <c r="A570" s="3" t="s">
        <v>1061</v>
      </c>
      <c r="B570" s="4" t="s">
        <v>1062</v>
      </c>
      <c r="C570" s="12">
        <f t="shared" ref="C570:C572" si="58">I570*3%+I570</f>
        <v>129.78</v>
      </c>
      <c r="D570" s="4" t="s">
        <v>383</v>
      </c>
      <c r="E570" s="4"/>
      <c r="F570" s="4" t="s">
        <v>33</v>
      </c>
      <c r="G570" s="4" t="s">
        <v>34</v>
      </c>
      <c r="H570" s="4" t="s">
        <v>35</v>
      </c>
      <c r="I570" s="4">
        <v>126</v>
      </c>
      <c r="J570" s="4" t="s">
        <v>383</v>
      </c>
      <c r="K570" s="4" t="s">
        <v>18</v>
      </c>
      <c r="L570" t="s">
        <v>1061</v>
      </c>
      <c r="M570" s="9">
        <f t="shared" si="53"/>
        <v>157.5087948</v>
      </c>
      <c r="N570" t="s">
        <v>1061</v>
      </c>
      <c r="O570" s="9">
        <v>157.5076</v>
      </c>
      <c r="P570" s="9">
        <f t="shared" si="54"/>
        <v>-1.1948000000074899E-3</v>
      </c>
      <c r="Q570" s="16">
        <f t="shared" si="56"/>
        <v>157.5087948</v>
      </c>
    </row>
    <row r="571" spans="1:17" x14ac:dyDescent="0.25">
      <c r="A571" s="3" t="s">
        <v>1063</v>
      </c>
      <c r="B571" s="4" t="s">
        <v>1064</v>
      </c>
      <c r="C571" s="12">
        <f t="shared" si="58"/>
        <v>179.62169999999998</v>
      </c>
      <c r="D571" s="4" t="s">
        <v>242</v>
      </c>
      <c r="E571" s="4" t="s">
        <v>14</v>
      </c>
      <c r="F571" s="4" t="s">
        <v>44</v>
      </c>
      <c r="G571" s="4" t="s">
        <v>45</v>
      </c>
      <c r="H571" s="4" t="s">
        <v>46</v>
      </c>
      <c r="I571" s="4">
        <v>174.39</v>
      </c>
      <c r="J571" s="4" t="s">
        <v>242</v>
      </c>
      <c r="K571" s="4" t="s">
        <v>18</v>
      </c>
      <c r="L571" t="s">
        <v>1063</v>
      </c>
      <c r="M571" s="9">
        <f t="shared" si="53"/>
        <v>217.99967242199997</v>
      </c>
      <c r="N571" t="s">
        <v>1063</v>
      </c>
      <c r="O571" s="9">
        <v>217.99950000000001</v>
      </c>
      <c r="P571" s="9">
        <f t="shared" si="54"/>
        <v>-1.7242199996303498E-4</v>
      </c>
      <c r="Q571" s="16">
        <f t="shared" si="56"/>
        <v>217.99967242199997</v>
      </c>
    </row>
    <row r="572" spans="1:17" x14ac:dyDescent="0.25">
      <c r="A572" s="3" t="s">
        <v>1065</v>
      </c>
      <c r="B572" s="4" t="s">
        <v>1066</v>
      </c>
      <c r="C572" s="12">
        <f t="shared" si="58"/>
        <v>103.824</v>
      </c>
      <c r="D572" s="4" t="s">
        <v>118</v>
      </c>
      <c r="E572" s="4" t="s">
        <v>14</v>
      </c>
      <c r="F572" s="4" t="s">
        <v>119</v>
      </c>
      <c r="G572" s="4" t="s">
        <v>120</v>
      </c>
      <c r="H572" s="4" t="s">
        <v>23</v>
      </c>
      <c r="I572" s="4">
        <v>100.8</v>
      </c>
      <c r="J572" s="4" t="s">
        <v>118</v>
      </c>
      <c r="K572" s="4" t="s">
        <v>18</v>
      </c>
      <c r="L572" t="s">
        <v>1065</v>
      </c>
      <c r="M572" s="9">
        <f t="shared" si="53"/>
        <v>126.00703584</v>
      </c>
      <c r="N572">
        <v>0</v>
      </c>
      <c r="O572" s="9">
        <v>0</v>
      </c>
      <c r="P572" s="9">
        <f t="shared" si="54"/>
        <v>-126.00703584</v>
      </c>
      <c r="Q572" s="16">
        <f t="shared" si="56"/>
        <v>126.00703584</v>
      </c>
    </row>
    <row r="573" spans="1:17" x14ac:dyDescent="0.25">
      <c r="A573" s="3" t="s">
        <v>1067</v>
      </c>
      <c r="B573" s="4" t="s">
        <v>1068</v>
      </c>
      <c r="C573" s="12">
        <v>54</v>
      </c>
      <c r="D573" s="4" t="s">
        <v>191</v>
      </c>
      <c r="E573" s="4" t="s">
        <v>14</v>
      </c>
      <c r="F573" s="4" t="s">
        <v>33</v>
      </c>
      <c r="G573" s="4" t="s">
        <v>34</v>
      </c>
      <c r="H573" s="4" t="s">
        <v>35</v>
      </c>
      <c r="I573" s="4">
        <v>52.5</v>
      </c>
      <c r="J573" s="4" t="s">
        <v>191</v>
      </c>
      <c r="K573" s="4" t="s">
        <v>18</v>
      </c>
      <c r="L573" t="s">
        <v>1067</v>
      </c>
      <c r="M573" s="9">
        <f t="shared" si="53"/>
        <v>65.537639999999996</v>
      </c>
      <c r="N573" t="s">
        <v>1067</v>
      </c>
      <c r="O573" s="9">
        <v>65.631600000000006</v>
      </c>
      <c r="P573" s="9">
        <f t="shared" si="54"/>
        <v>9.3960000000009813E-2</v>
      </c>
      <c r="Q573" s="16">
        <f t="shared" si="56"/>
        <v>65.537639999999996</v>
      </c>
    </row>
    <row r="574" spans="1:17" x14ac:dyDescent="0.25">
      <c r="A574" s="3" t="s">
        <v>1069</v>
      </c>
      <c r="B574" s="4" t="s">
        <v>1070</v>
      </c>
      <c r="C574" s="12">
        <v>17</v>
      </c>
      <c r="D574" s="4" t="s">
        <v>191</v>
      </c>
      <c r="E574" s="4" t="s">
        <v>14</v>
      </c>
      <c r="F574" s="4" t="s">
        <v>33</v>
      </c>
      <c r="G574" s="4" t="s">
        <v>34</v>
      </c>
      <c r="H574" s="4" t="s">
        <v>35</v>
      </c>
      <c r="I574" s="4">
        <v>28</v>
      </c>
      <c r="J574" s="4" t="s">
        <v>191</v>
      </c>
      <c r="K574" s="4" t="s">
        <v>18</v>
      </c>
      <c r="L574" t="s">
        <v>1069</v>
      </c>
      <c r="M574" s="9">
        <f t="shared" si="53"/>
        <v>20.63222</v>
      </c>
      <c r="N574" t="s">
        <v>1069</v>
      </c>
      <c r="O574" s="9">
        <v>36.750399999999999</v>
      </c>
      <c r="P574" s="9">
        <f t="shared" si="54"/>
        <v>16.118179999999999</v>
      </c>
      <c r="Q574" s="16">
        <f t="shared" si="56"/>
        <v>20.63222</v>
      </c>
    </row>
    <row r="575" spans="1:17" x14ac:dyDescent="0.25">
      <c r="A575" s="3" t="s">
        <v>1069</v>
      </c>
      <c r="B575" s="4" t="s">
        <v>1070</v>
      </c>
      <c r="C575" s="12">
        <v>17</v>
      </c>
      <c r="D575" s="4" t="s">
        <v>191</v>
      </c>
      <c r="E575" s="4" t="s">
        <v>14</v>
      </c>
      <c r="F575" s="4" t="s">
        <v>33</v>
      </c>
      <c r="G575" s="4" t="s">
        <v>34</v>
      </c>
      <c r="H575" s="4" t="s">
        <v>35</v>
      </c>
      <c r="I575" s="4">
        <v>29.4</v>
      </c>
      <c r="J575" s="4" t="s">
        <v>191</v>
      </c>
      <c r="K575" s="4" t="s">
        <v>18</v>
      </c>
      <c r="L575" t="s">
        <v>1069</v>
      </c>
      <c r="M575" s="9">
        <f t="shared" si="53"/>
        <v>20.63222</v>
      </c>
      <c r="N575" t="s">
        <v>1069</v>
      </c>
      <c r="O575" s="9">
        <v>36.750399999999999</v>
      </c>
      <c r="P575" s="9">
        <f t="shared" si="54"/>
        <v>16.118179999999999</v>
      </c>
      <c r="Q575" s="16">
        <f t="shared" si="56"/>
        <v>20.63222</v>
      </c>
    </row>
    <row r="576" spans="1:17" x14ac:dyDescent="0.25">
      <c r="A576" s="3" t="s">
        <v>1071</v>
      </c>
      <c r="B576" s="4" t="s">
        <v>1072</v>
      </c>
      <c r="C576" s="12">
        <v>50</v>
      </c>
      <c r="D576" s="4" t="s">
        <v>191</v>
      </c>
      <c r="E576" s="4" t="s">
        <v>14</v>
      </c>
      <c r="F576" s="4" t="s">
        <v>33</v>
      </c>
      <c r="G576" s="4" t="s">
        <v>34</v>
      </c>
      <c r="H576" s="4" t="s">
        <v>270</v>
      </c>
      <c r="I576" s="4">
        <v>74.150000000000006</v>
      </c>
      <c r="J576" s="4" t="s">
        <v>191</v>
      </c>
      <c r="K576" s="4" t="s">
        <v>18</v>
      </c>
      <c r="L576" t="s">
        <v>1071</v>
      </c>
      <c r="M576" s="9">
        <f t="shared" si="53"/>
        <v>60.683</v>
      </c>
      <c r="N576" t="s">
        <v>1071</v>
      </c>
      <c r="O576" s="9">
        <v>92.689700000000002</v>
      </c>
      <c r="P576" s="9">
        <f t="shared" si="54"/>
        <v>32.006700000000002</v>
      </c>
      <c r="Q576" s="16">
        <f t="shared" si="56"/>
        <v>60.683</v>
      </c>
    </row>
    <row r="577" spans="1:17" x14ac:dyDescent="0.25">
      <c r="A577" s="3" t="s">
        <v>1073</v>
      </c>
      <c r="B577" s="4" t="s">
        <v>1074</v>
      </c>
      <c r="C577" s="12">
        <v>325</v>
      </c>
      <c r="D577" s="4" t="s">
        <v>191</v>
      </c>
      <c r="E577" s="4" t="s">
        <v>14</v>
      </c>
      <c r="F577" s="4" t="s">
        <v>33</v>
      </c>
      <c r="G577" s="4" t="s">
        <v>34</v>
      </c>
      <c r="H577" s="4" t="s">
        <v>1075</v>
      </c>
      <c r="I577" s="4">
        <v>315</v>
      </c>
      <c r="J577" s="4" t="s">
        <v>191</v>
      </c>
      <c r="K577" s="4" t="s">
        <v>18</v>
      </c>
      <c r="L577" t="s">
        <v>1073</v>
      </c>
      <c r="M577" s="9">
        <f t="shared" si="53"/>
        <v>394.43950000000001</v>
      </c>
      <c r="N577" t="s">
        <v>1073</v>
      </c>
      <c r="O577" s="9">
        <v>393.76900000000001</v>
      </c>
      <c r="P577" s="9">
        <f t="shared" si="54"/>
        <v>-0.67050000000000409</v>
      </c>
      <c r="Q577" s="16">
        <f t="shared" si="56"/>
        <v>394.43950000000001</v>
      </c>
    </row>
    <row r="578" spans="1:17" x14ac:dyDescent="0.25">
      <c r="A578" s="3" t="s">
        <v>1076</v>
      </c>
      <c r="B578" s="4" t="s">
        <v>1077</v>
      </c>
      <c r="C578" s="12">
        <v>115</v>
      </c>
      <c r="D578" s="4" t="s">
        <v>1078</v>
      </c>
      <c r="E578" s="4" t="s">
        <v>14</v>
      </c>
      <c r="F578" s="4" t="s">
        <v>33</v>
      </c>
      <c r="G578" s="4" t="s">
        <v>34</v>
      </c>
      <c r="H578" s="4" t="s">
        <v>35</v>
      </c>
      <c r="I578" s="4">
        <v>13.387499999999999</v>
      </c>
      <c r="J578" s="4" t="s">
        <v>1078</v>
      </c>
      <c r="K578" s="4" t="s">
        <v>18</v>
      </c>
      <c r="L578" t="s">
        <v>1076</v>
      </c>
      <c r="M578" s="9">
        <f t="shared" si="53"/>
        <v>139.57089999999999</v>
      </c>
      <c r="N578" t="s">
        <v>1076</v>
      </c>
      <c r="O578" s="9">
        <v>16.734929999999999</v>
      </c>
      <c r="P578" s="9">
        <f t="shared" si="54"/>
        <v>-122.83597</v>
      </c>
      <c r="Q578" s="16">
        <f t="shared" si="56"/>
        <v>139.57089999999999</v>
      </c>
    </row>
    <row r="579" spans="1:17" x14ac:dyDescent="0.25">
      <c r="A579" s="3" t="s">
        <v>1079</v>
      </c>
      <c r="B579" s="4" t="s">
        <v>1080</v>
      </c>
      <c r="C579" s="12">
        <v>102.64</v>
      </c>
      <c r="D579" s="4" t="s">
        <v>111</v>
      </c>
      <c r="E579" s="4" t="s">
        <v>14</v>
      </c>
      <c r="F579" s="4" t="s">
        <v>33</v>
      </c>
      <c r="G579" s="4" t="s">
        <v>34</v>
      </c>
      <c r="H579" s="4" t="s">
        <v>489</v>
      </c>
      <c r="I579" s="4">
        <v>99.65</v>
      </c>
      <c r="J579" s="4" t="s">
        <v>111</v>
      </c>
      <c r="K579" s="4" t="s">
        <v>18</v>
      </c>
      <c r="L579" t="s">
        <v>1079</v>
      </c>
      <c r="M579" s="9">
        <f t="shared" ref="M579:M594" si="59">C579*1.21366</f>
        <v>124.5700624</v>
      </c>
      <c r="N579" t="s">
        <v>1079</v>
      </c>
      <c r="O579" s="9">
        <v>124.5682</v>
      </c>
      <c r="P579" s="9">
        <f t="shared" ref="P579:P594" si="60">O579-M579</f>
        <v>-1.8623999999931584E-3</v>
      </c>
      <c r="Q579" s="16">
        <f t="shared" si="56"/>
        <v>124.5700624</v>
      </c>
    </row>
    <row r="580" spans="1:17" x14ac:dyDescent="0.25">
      <c r="A580" s="3" t="s">
        <v>1081</v>
      </c>
      <c r="B580" s="4" t="s">
        <v>1082</v>
      </c>
      <c r="C580" s="12">
        <f>I580*3%+I580</f>
        <v>38.223300000000002</v>
      </c>
      <c r="D580" s="4" t="s">
        <v>242</v>
      </c>
      <c r="E580" s="4" t="s">
        <v>244</v>
      </c>
      <c r="F580" s="4" t="s">
        <v>571</v>
      </c>
      <c r="G580" s="4" t="s">
        <v>572</v>
      </c>
      <c r="H580" s="4" t="s">
        <v>573</v>
      </c>
      <c r="I580" s="4">
        <v>37.11</v>
      </c>
      <c r="J580" s="4" t="s">
        <v>242</v>
      </c>
      <c r="K580" s="4" t="s">
        <v>18</v>
      </c>
      <c r="L580" t="s">
        <v>1081</v>
      </c>
      <c r="M580" s="9">
        <f t="shared" si="59"/>
        <v>46.390090278000002</v>
      </c>
      <c r="N580" t="s">
        <v>1081</v>
      </c>
      <c r="O580" s="9">
        <v>46.391199999999998</v>
      </c>
      <c r="P580" s="9">
        <f t="shared" si="60"/>
        <v>1.1097219999953722E-3</v>
      </c>
      <c r="Q580" s="16">
        <f t="shared" si="56"/>
        <v>46.390090278000002</v>
      </c>
    </row>
    <row r="581" spans="1:17" x14ac:dyDescent="0.25">
      <c r="A581" s="3" t="s">
        <v>1083</v>
      </c>
      <c r="B581" s="4" t="s">
        <v>1084</v>
      </c>
      <c r="C581" s="12">
        <f t="shared" ref="C581:C582" si="61">I581*3%+I581</f>
        <v>52.282799999999995</v>
      </c>
      <c r="D581" s="4" t="s">
        <v>191</v>
      </c>
      <c r="E581" s="4" t="s">
        <v>14</v>
      </c>
      <c r="F581" s="4" t="s">
        <v>33</v>
      </c>
      <c r="G581" s="4" t="s">
        <v>34</v>
      </c>
      <c r="H581" s="4" t="s">
        <v>35</v>
      </c>
      <c r="I581" s="4">
        <v>50.76</v>
      </c>
      <c r="J581" s="4" t="s">
        <v>191</v>
      </c>
      <c r="K581" s="4" t="s">
        <v>18</v>
      </c>
      <c r="L581" t="s">
        <v>1083</v>
      </c>
      <c r="M581" s="9">
        <f t="shared" si="59"/>
        <v>63.453543047999993</v>
      </c>
      <c r="N581" t="s">
        <v>1083</v>
      </c>
      <c r="O581" s="9">
        <v>63.458300000000001</v>
      </c>
      <c r="P581" s="9">
        <f t="shared" si="60"/>
        <v>4.7569520000081411E-3</v>
      </c>
      <c r="Q581" s="16">
        <f t="shared" si="56"/>
        <v>63.453543047999993</v>
      </c>
    </row>
    <row r="582" spans="1:17" x14ac:dyDescent="0.25">
      <c r="A582" s="3" t="s">
        <v>1085</v>
      </c>
      <c r="B582" s="4" t="s">
        <v>1086</v>
      </c>
      <c r="C582" s="12">
        <f t="shared" si="61"/>
        <v>721</v>
      </c>
      <c r="D582" s="4" t="s">
        <v>32</v>
      </c>
      <c r="E582" s="4" t="s">
        <v>14</v>
      </c>
      <c r="F582" s="4" t="s">
        <v>15</v>
      </c>
      <c r="G582" s="4" t="s">
        <v>16</v>
      </c>
      <c r="H582" s="4" t="s">
        <v>17</v>
      </c>
      <c r="I582" s="4">
        <v>700</v>
      </c>
      <c r="J582" s="4" t="s">
        <v>32</v>
      </c>
      <c r="K582" s="4" t="s">
        <v>18</v>
      </c>
      <c r="L582" t="s">
        <v>1085</v>
      </c>
      <c r="M582" s="9">
        <f t="shared" si="59"/>
        <v>875.04885999999999</v>
      </c>
      <c r="N582">
        <v>0</v>
      </c>
      <c r="O582" s="9">
        <v>0</v>
      </c>
      <c r="P582" s="9">
        <f t="shared" si="60"/>
        <v>-875.04885999999999</v>
      </c>
      <c r="Q582" s="16">
        <f t="shared" si="56"/>
        <v>875.04885999999999</v>
      </c>
    </row>
    <row r="583" spans="1:17" x14ac:dyDescent="0.25">
      <c r="A583" s="3" t="s">
        <v>1087</v>
      </c>
      <c r="B583" s="4" t="s">
        <v>1088</v>
      </c>
      <c r="C583" s="12">
        <v>513.71</v>
      </c>
      <c r="D583" s="4" t="s">
        <v>13</v>
      </c>
      <c r="E583" s="4" t="s">
        <v>14</v>
      </c>
      <c r="F583" s="4" t="s">
        <v>33</v>
      </c>
      <c r="G583" s="4" t="s">
        <v>34</v>
      </c>
      <c r="H583" s="4" t="s">
        <v>115</v>
      </c>
      <c r="I583" s="4">
        <v>498.75</v>
      </c>
      <c r="J583" s="4" t="s">
        <v>13</v>
      </c>
      <c r="K583" s="4" t="s">
        <v>18</v>
      </c>
      <c r="L583" t="s">
        <v>1087</v>
      </c>
      <c r="M583" s="9">
        <f t="shared" si="59"/>
        <v>623.46927860000005</v>
      </c>
      <c r="N583">
        <v>0</v>
      </c>
      <c r="O583" s="9">
        <v>0</v>
      </c>
      <c r="P583" s="9">
        <f t="shared" si="60"/>
        <v>-623.46927860000005</v>
      </c>
      <c r="Q583" s="16">
        <f t="shared" si="56"/>
        <v>623.46927860000005</v>
      </c>
    </row>
    <row r="584" spans="1:17" x14ac:dyDescent="0.25">
      <c r="A584" s="3" t="s">
        <v>1089</v>
      </c>
      <c r="B584" s="4" t="s">
        <v>1090</v>
      </c>
      <c r="C584" s="12">
        <v>474.46</v>
      </c>
      <c r="D584" s="4" t="s">
        <v>13</v>
      </c>
      <c r="E584" s="4" t="s">
        <v>14</v>
      </c>
      <c r="F584" s="4" t="s">
        <v>33</v>
      </c>
      <c r="G584" s="4" t="s">
        <v>34</v>
      </c>
      <c r="H584" s="4" t="s">
        <v>115</v>
      </c>
      <c r="I584" s="4">
        <v>460.64</v>
      </c>
      <c r="J584" s="4" t="s">
        <v>13</v>
      </c>
      <c r="K584" s="4" t="s">
        <v>18</v>
      </c>
      <c r="L584" t="s">
        <v>1089</v>
      </c>
      <c r="M584" s="9">
        <f t="shared" si="59"/>
        <v>575.83312359999991</v>
      </c>
      <c r="N584" t="s">
        <v>1089</v>
      </c>
      <c r="O584" s="9">
        <v>575.83180000000004</v>
      </c>
      <c r="P584" s="9">
        <f t="shared" si="60"/>
        <v>-1.3235999998642001E-3</v>
      </c>
      <c r="Q584" s="16">
        <f t="shared" si="56"/>
        <v>575.83312359999991</v>
      </c>
    </row>
    <row r="585" spans="1:17" x14ac:dyDescent="0.25">
      <c r="A585" s="3" t="s">
        <v>1091</v>
      </c>
      <c r="B585" s="4" t="s">
        <v>1092</v>
      </c>
      <c r="C585" s="12">
        <v>16.739999999999998</v>
      </c>
      <c r="D585" s="4" t="s">
        <v>191</v>
      </c>
      <c r="E585" s="4" t="s">
        <v>14</v>
      </c>
      <c r="F585" s="4" t="s">
        <v>33</v>
      </c>
      <c r="G585" s="4" t="s">
        <v>34</v>
      </c>
      <c r="H585" s="4" t="s">
        <v>270</v>
      </c>
      <c r="I585" s="4">
        <v>16.25</v>
      </c>
      <c r="J585" s="4" t="s">
        <v>191</v>
      </c>
      <c r="K585" s="4" t="s">
        <v>18</v>
      </c>
      <c r="L585" t="s">
        <v>1091</v>
      </c>
      <c r="M585" s="9">
        <f t="shared" si="59"/>
        <v>20.316668399999998</v>
      </c>
      <c r="N585">
        <v>0</v>
      </c>
      <c r="O585" s="9">
        <v>0</v>
      </c>
      <c r="P585" s="9">
        <f t="shared" si="60"/>
        <v>-20.316668399999998</v>
      </c>
      <c r="Q585" s="16">
        <f t="shared" si="56"/>
        <v>20.316668399999998</v>
      </c>
    </row>
    <row r="586" spans="1:17" x14ac:dyDescent="0.25">
      <c r="A586" s="3" t="s">
        <v>1093</v>
      </c>
      <c r="B586" s="4" t="s">
        <v>1094</v>
      </c>
      <c r="C586" s="12">
        <f>I586*3%+I586</f>
        <v>42.126999999999995</v>
      </c>
      <c r="D586" s="4" t="s">
        <v>118</v>
      </c>
      <c r="E586" s="4" t="s">
        <v>14</v>
      </c>
      <c r="F586" s="4" t="s">
        <v>131</v>
      </c>
      <c r="G586" s="4" t="s">
        <v>132</v>
      </c>
      <c r="H586" s="4" t="s">
        <v>133</v>
      </c>
      <c r="I586" s="4">
        <v>40.9</v>
      </c>
      <c r="J586" s="4" t="s">
        <v>118</v>
      </c>
      <c r="K586" s="4" t="s">
        <v>18</v>
      </c>
      <c r="L586" t="s">
        <v>1093</v>
      </c>
      <c r="M586" s="9">
        <f t="shared" si="59"/>
        <v>51.127854819999996</v>
      </c>
      <c r="N586" t="s">
        <v>1093</v>
      </c>
      <c r="O586" s="9">
        <v>51.129199999999997</v>
      </c>
      <c r="P586" s="9">
        <f t="shared" si="60"/>
        <v>1.3451800000012781E-3</v>
      </c>
      <c r="Q586" s="16">
        <f t="shared" si="56"/>
        <v>51.127854819999996</v>
      </c>
    </row>
    <row r="587" spans="1:17" x14ac:dyDescent="0.25">
      <c r="A587" s="3" t="s">
        <v>1095</v>
      </c>
      <c r="B587" s="4" t="s">
        <v>1096</v>
      </c>
      <c r="C587" s="12">
        <v>5.41</v>
      </c>
      <c r="D587" s="4" t="s">
        <v>13</v>
      </c>
      <c r="E587" s="4" t="s">
        <v>23</v>
      </c>
      <c r="F587" s="4" t="s">
        <v>49</v>
      </c>
      <c r="G587" s="4" t="s">
        <v>50</v>
      </c>
      <c r="H587" s="4" t="s">
        <v>50</v>
      </c>
      <c r="I587" s="4">
        <v>5.25</v>
      </c>
      <c r="J587" s="4" t="s">
        <v>13</v>
      </c>
      <c r="K587" s="4" t="s">
        <v>18</v>
      </c>
      <c r="L587" t="s">
        <v>1095</v>
      </c>
      <c r="M587" s="9">
        <f t="shared" si="59"/>
        <v>6.5659006</v>
      </c>
      <c r="N587">
        <v>0</v>
      </c>
      <c r="O587" s="9">
        <v>0</v>
      </c>
      <c r="P587" s="9">
        <f t="shared" si="60"/>
        <v>-6.5659006</v>
      </c>
      <c r="Q587" s="16">
        <f t="shared" si="56"/>
        <v>6.5659006</v>
      </c>
    </row>
    <row r="588" spans="1:17" x14ac:dyDescent="0.25">
      <c r="A588" s="3" t="s">
        <v>1097</v>
      </c>
      <c r="B588" s="4" t="s">
        <v>1098</v>
      </c>
      <c r="C588" s="12">
        <v>254.15</v>
      </c>
      <c r="D588" s="4" t="s">
        <v>383</v>
      </c>
      <c r="E588" s="4" t="s">
        <v>14</v>
      </c>
      <c r="F588" s="4" t="s">
        <v>33</v>
      </c>
      <c r="G588" s="4" t="s">
        <v>34</v>
      </c>
      <c r="H588" s="4" t="s">
        <v>35</v>
      </c>
      <c r="I588" s="4">
        <v>246.75</v>
      </c>
      <c r="J588" s="4" t="s">
        <v>383</v>
      </c>
      <c r="K588" s="4" t="s">
        <v>18</v>
      </c>
      <c r="L588" t="s">
        <v>1097</v>
      </c>
      <c r="M588" s="9">
        <f t="shared" si="59"/>
        <v>308.45168899999999</v>
      </c>
      <c r="N588">
        <v>0</v>
      </c>
      <c r="O588" s="9">
        <v>0</v>
      </c>
      <c r="P588" s="9">
        <f t="shared" si="60"/>
        <v>-308.45168899999999</v>
      </c>
      <c r="Q588" s="16">
        <f t="shared" si="56"/>
        <v>308.45168899999999</v>
      </c>
    </row>
    <row r="589" spans="1:17" x14ac:dyDescent="0.25">
      <c r="A589" s="3" t="s">
        <v>1099</v>
      </c>
      <c r="B589" s="4" t="s">
        <v>1100</v>
      </c>
      <c r="C589" s="12">
        <v>15.55</v>
      </c>
      <c r="D589" s="4" t="s">
        <v>13</v>
      </c>
      <c r="E589" s="4" t="s">
        <v>14</v>
      </c>
      <c r="F589" s="4" t="s">
        <v>33</v>
      </c>
      <c r="G589" s="4" t="s">
        <v>34</v>
      </c>
      <c r="H589" s="4" t="s">
        <v>35</v>
      </c>
      <c r="I589" s="4">
        <v>15.1</v>
      </c>
      <c r="J589" s="4" t="s">
        <v>13</v>
      </c>
      <c r="K589" s="4" t="s">
        <v>18</v>
      </c>
      <c r="L589" t="s">
        <v>1099</v>
      </c>
      <c r="M589" s="9">
        <f t="shared" si="59"/>
        <v>18.872413000000002</v>
      </c>
      <c r="N589" t="s">
        <v>1099</v>
      </c>
      <c r="O589" s="9">
        <v>18.879899999999999</v>
      </c>
      <c r="P589" s="9">
        <f t="shared" si="60"/>
        <v>7.4869999999975789E-3</v>
      </c>
      <c r="Q589" s="16">
        <f t="shared" si="56"/>
        <v>18.872413000000002</v>
      </c>
    </row>
    <row r="590" spans="1:17" x14ac:dyDescent="0.25">
      <c r="A590" s="3" t="s">
        <v>1101</v>
      </c>
      <c r="B590" s="4" t="s">
        <v>1102</v>
      </c>
      <c r="C590" s="12">
        <v>26.96</v>
      </c>
      <c r="D590" s="4" t="s">
        <v>191</v>
      </c>
      <c r="E590" s="4" t="s">
        <v>14</v>
      </c>
      <c r="F590" s="4" t="s">
        <v>33</v>
      </c>
      <c r="G590" s="4" t="s">
        <v>34</v>
      </c>
      <c r="H590" s="4" t="s">
        <v>35</v>
      </c>
      <c r="I590" s="4">
        <v>25.2</v>
      </c>
      <c r="J590" s="4" t="s">
        <v>191</v>
      </c>
      <c r="K590" s="4" t="s">
        <v>18</v>
      </c>
      <c r="L590" t="s">
        <v>1101</v>
      </c>
      <c r="M590" s="9">
        <f t="shared" si="59"/>
        <v>32.720273599999999</v>
      </c>
      <c r="N590" t="s">
        <v>1101</v>
      </c>
      <c r="O590" s="9">
        <v>31.497399999999999</v>
      </c>
      <c r="P590" s="9">
        <f t="shared" si="60"/>
        <v>-1.2228735999999998</v>
      </c>
      <c r="Q590" s="16">
        <f t="shared" si="56"/>
        <v>32.720273599999999</v>
      </c>
    </row>
    <row r="591" spans="1:17" x14ac:dyDescent="0.25">
      <c r="A591" s="3" t="s">
        <v>1103</v>
      </c>
      <c r="B591" s="4" t="s">
        <v>1104</v>
      </c>
      <c r="C591" s="12">
        <v>16.22</v>
      </c>
      <c r="D591" s="4" t="s">
        <v>191</v>
      </c>
      <c r="E591" s="4" t="s">
        <v>14</v>
      </c>
      <c r="F591" s="4" t="s">
        <v>33</v>
      </c>
      <c r="G591" s="4" t="s">
        <v>34</v>
      </c>
      <c r="H591" s="4" t="s">
        <v>35</v>
      </c>
      <c r="I591" s="4">
        <v>15.75</v>
      </c>
      <c r="J591" s="4" t="s">
        <v>191</v>
      </c>
      <c r="K591" s="4" t="s">
        <v>18</v>
      </c>
      <c r="L591" t="s">
        <v>1103</v>
      </c>
      <c r="M591" s="9">
        <f t="shared" si="59"/>
        <v>19.685565199999999</v>
      </c>
      <c r="N591">
        <v>0</v>
      </c>
      <c r="O591" s="9">
        <v>0</v>
      </c>
      <c r="P591" s="9">
        <f t="shared" si="60"/>
        <v>-19.685565199999999</v>
      </c>
      <c r="Q591" s="16">
        <f t="shared" si="56"/>
        <v>19.685565199999999</v>
      </c>
    </row>
    <row r="592" spans="1:17" x14ac:dyDescent="0.25">
      <c r="A592" s="3" t="s">
        <v>1105</v>
      </c>
      <c r="B592" s="4" t="s">
        <v>1106</v>
      </c>
      <c r="C592" s="12">
        <v>1784</v>
      </c>
      <c r="D592" s="4" t="s">
        <v>13</v>
      </c>
      <c r="E592" s="4" t="s">
        <v>14</v>
      </c>
      <c r="F592" s="4" t="s">
        <v>33</v>
      </c>
      <c r="G592" s="4" t="s">
        <v>34</v>
      </c>
      <c r="H592" s="4" t="s">
        <v>115</v>
      </c>
      <c r="I592" s="4">
        <v>1732.5</v>
      </c>
      <c r="J592" s="4" t="s">
        <v>13</v>
      </c>
      <c r="K592" s="4" t="s">
        <v>18</v>
      </c>
      <c r="L592" t="s">
        <v>1105</v>
      </c>
      <c r="M592" s="9">
        <f t="shared" si="59"/>
        <v>2165.1694400000001</v>
      </c>
      <c r="N592">
        <v>0</v>
      </c>
      <c r="O592" s="9">
        <v>0</v>
      </c>
      <c r="P592" s="9">
        <f t="shared" si="60"/>
        <v>-2165.1694400000001</v>
      </c>
      <c r="Q592" s="16">
        <f t="shared" si="56"/>
        <v>2165.1694400000001</v>
      </c>
    </row>
    <row r="593" spans="1:17" x14ac:dyDescent="0.25">
      <c r="A593" s="3" t="s">
        <v>1107</v>
      </c>
      <c r="B593" s="4" t="s">
        <v>1108</v>
      </c>
      <c r="C593" s="12">
        <v>3028</v>
      </c>
      <c r="D593" s="4" t="s">
        <v>13</v>
      </c>
      <c r="E593" s="4" t="s">
        <v>14</v>
      </c>
      <c r="F593" s="4" t="s">
        <v>33</v>
      </c>
      <c r="G593" s="4" t="s">
        <v>34</v>
      </c>
      <c r="H593" s="4" t="s">
        <v>115</v>
      </c>
      <c r="I593" s="4">
        <v>2940</v>
      </c>
      <c r="J593" s="4" t="s">
        <v>13</v>
      </c>
      <c r="K593" s="4" t="s">
        <v>18</v>
      </c>
      <c r="L593" t="s">
        <v>1107</v>
      </c>
      <c r="M593" s="9">
        <f t="shared" si="59"/>
        <v>3674.9624799999997</v>
      </c>
      <c r="N593">
        <v>0</v>
      </c>
      <c r="O593" s="9">
        <v>0</v>
      </c>
      <c r="P593" s="9">
        <f t="shared" si="60"/>
        <v>-3674.9624799999997</v>
      </c>
      <c r="Q593" s="16">
        <f t="shared" si="56"/>
        <v>3674.9624799999997</v>
      </c>
    </row>
    <row r="594" spans="1:17" x14ac:dyDescent="0.25">
      <c r="A594" s="3" t="s">
        <v>1109</v>
      </c>
      <c r="B594" s="4" t="s">
        <v>1110</v>
      </c>
      <c r="C594" s="12">
        <f>I594*3%+I594</f>
        <v>2374.15</v>
      </c>
      <c r="D594" s="4" t="s">
        <v>191</v>
      </c>
      <c r="E594" s="4" t="s">
        <v>14</v>
      </c>
      <c r="F594" s="4" t="s">
        <v>33</v>
      </c>
      <c r="G594" s="4" t="s">
        <v>34</v>
      </c>
      <c r="H594" s="4" t="s">
        <v>392</v>
      </c>
      <c r="I594" s="4">
        <v>2305</v>
      </c>
      <c r="J594" s="4" t="s">
        <v>191</v>
      </c>
      <c r="K594" s="4" t="s">
        <v>18</v>
      </c>
      <c r="L594" t="s">
        <v>1109</v>
      </c>
      <c r="M594" s="9">
        <f t="shared" si="59"/>
        <v>2881.4108890000002</v>
      </c>
      <c r="N594">
        <v>0</v>
      </c>
      <c r="O594" s="9">
        <v>0</v>
      </c>
      <c r="P594" s="9">
        <f t="shared" si="60"/>
        <v>-2881.4108890000002</v>
      </c>
      <c r="Q594" s="16">
        <f t="shared" si="56"/>
        <v>2881.4108890000002</v>
      </c>
    </row>
  </sheetData>
  <autoFilter ref="A1:K594" xr:uid="{345B4188-4512-44F5-BEE7-C5836440CF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94B4-DBAD-4BF6-B4A8-DB6400331CAC}">
  <dimension ref="A1:Q576"/>
  <sheetViews>
    <sheetView tabSelected="1" workbookViewId="0"/>
  </sheetViews>
  <sheetFormatPr defaultRowHeight="15" x14ac:dyDescent="0.25"/>
  <cols>
    <col min="1" max="1" width="24.42578125" style="23" customWidth="1"/>
    <col min="2" max="2" width="66.42578125" style="22" bestFit="1" customWidth="1"/>
    <col min="3" max="3" width="17.85546875" style="31" customWidth="1"/>
    <col min="4" max="4" width="9.140625" style="22" hidden="1" customWidth="1"/>
    <col min="5" max="5" width="29.42578125" style="22" hidden="1" customWidth="1"/>
    <col min="6" max="6" width="0" style="22" hidden="1" customWidth="1"/>
    <col min="7" max="7" width="32.42578125" style="22" hidden="1" customWidth="1"/>
    <col min="8" max="8" width="34.7109375" style="22" hidden="1" customWidth="1"/>
    <col min="9" max="9" width="19.140625" style="22" hidden="1" customWidth="1"/>
    <col min="10" max="11" width="0" style="22" hidden="1" customWidth="1"/>
    <col min="12" max="12" width="16.42578125" style="22" hidden="1" customWidth="1"/>
    <col min="13" max="13" width="9.5703125" style="24" hidden="1" customWidth="1"/>
    <col min="14" max="14" width="24.5703125" style="22" hidden="1" customWidth="1"/>
    <col min="15" max="16" width="9.5703125" style="24" hidden="1" customWidth="1"/>
    <col min="17" max="17" width="13.140625" style="25" customWidth="1"/>
    <col min="18" max="16384" width="9.140625" style="22"/>
  </cols>
  <sheetData>
    <row r="1" spans="1:17" x14ac:dyDescent="0.25">
      <c r="A1" s="23" t="s">
        <v>1688</v>
      </c>
    </row>
    <row r="2" spans="1:17" s="32" customFormat="1" ht="30" x14ac:dyDescent="0.25">
      <c r="A2" s="26" t="s">
        <v>1685</v>
      </c>
      <c r="B2" s="26" t="s">
        <v>1686</v>
      </c>
      <c r="C2" s="33" t="s">
        <v>1687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1111</v>
      </c>
      <c r="J2" s="26" t="s">
        <v>8</v>
      </c>
      <c r="K2" s="26" t="s">
        <v>9</v>
      </c>
      <c r="L2" s="26"/>
      <c r="M2" s="27" t="s">
        <v>1112</v>
      </c>
      <c r="N2" s="26"/>
      <c r="O2" s="27"/>
      <c r="P2" s="27"/>
      <c r="Q2" s="29" t="s">
        <v>1114</v>
      </c>
    </row>
    <row r="3" spans="1:17" x14ac:dyDescent="0.25">
      <c r="A3" s="18" t="s">
        <v>10</v>
      </c>
      <c r="B3" s="19" t="s">
        <v>1115</v>
      </c>
      <c r="C3" s="28">
        <f>I3*3%+I3</f>
        <v>0.81370000000000009</v>
      </c>
      <c r="D3" s="19" t="s">
        <v>13</v>
      </c>
      <c r="E3" s="19" t="s">
        <v>14</v>
      </c>
      <c r="F3" s="19" t="s">
        <v>15</v>
      </c>
      <c r="G3" s="19" t="s">
        <v>16</v>
      </c>
      <c r="H3" s="19" t="s">
        <v>17</v>
      </c>
      <c r="I3" s="19">
        <v>0.79</v>
      </c>
      <c r="J3" s="19" t="s">
        <v>13</v>
      </c>
      <c r="K3" s="19" t="s">
        <v>18</v>
      </c>
      <c r="L3" s="19" t="s">
        <v>10</v>
      </c>
      <c r="M3" s="34">
        <f>C3*1.21366</f>
        <v>0.98755514200000005</v>
      </c>
      <c r="N3" s="19">
        <v>0</v>
      </c>
      <c r="O3" s="34">
        <v>0</v>
      </c>
      <c r="P3" s="34">
        <f>O3-M3</f>
        <v>-0.98755514200000005</v>
      </c>
      <c r="Q3" s="21">
        <f>C3*1.21366</f>
        <v>0.98755514200000005</v>
      </c>
    </row>
    <row r="4" spans="1:17" x14ac:dyDescent="0.25">
      <c r="A4" s="18" t="s">
        <v>19</v>
      </c>
      <c r="B4" s="19" t="s">
        <v>1116</v>
      </c>
      <c r="C4" s="28">
        <v>60</v>
      </c>
      <c r="D4" s="19" t="s">
        <v>13</v>
      </c>
      <c r="E4" s="19" t="s">
        <v>14</v>
      </c>
      <c r="F4" s="19" t="s">
        <v>15</v>
      </c>
      <c r="G4" s="19" t="s">
        <v>16</v>
      </c>
      <c r="H4" s="19" t="s">
        <v>17</v>
      </c>
      <c r="I4" s="19"/>
      <c r="J4" s="19" t="s">
        <v>13</v>
      </c>
      <c r="K4" s="19" t="s">
        <v>18</v>
      </c>
      <c r="L4" s="19">
        <v>0</v>
      </c>
      <c r="M4" s="34">
        <f t="shared" ref="M4:M67" si="0">C4*1.21366</f>
        <v>72.819599999999994</v>
      </c>
      <c r="N4" s="19">
        <v>0</v>
      </c>
      <c r="O4" s="34">
        <v>0</v>
      </c>
      <c r="P4" s="34">
        <f t="shared" ref="P4:P67" si="1">O4-M4</f>
        <v>-72.819599999999994</v>
      </c>
      <c r="Q4" s="21">
        <f t="shared" ref="Q4:Q67" si="2">C4*1.21366</f>
        <v>72.819599999999994</v>
      </c>
    </row>
    <row r="5" spans="1:17" x14ac:dyDescent="0.25">
      <c r="A5" s="18" t="s">
        <v>21</v>
      </c>
      <c r="B5" s="19" t="s">
        <v>1117</v>
      </c>
      <c r="C5" s="28">
        <f>I5*3%+I5</f>
        <v>5.1190999999999995</v>
      </c>
      <c r="D5" s="19" t="s">
        <v>13</v>
      </c>
      <c r="E5" s="19" t="s">
        <v>23</v>
      </c>
      <c r="F5" s="19" t="s">
        <v>24</v>
      </c>
      <c r="G5" s="19" t="s">
        <v>25</v>
      </c>
      <c r="H5" s="19" t="s">
        <v>25</v>
      </c>
      <c r="I5" s="19">
        <v>4.97</v>
      </c>
      <c r="J5" s="19" t="s">
        <v>13</v>
      </c>
      <c r="K5" s="19" t="s">
        <v>18</v>
      </c>
      <c r="L5" s="19" t="s">
        <v>21</v>
      </c>
      <c r="M5" s="34">
        <f t="shared" si="0"/>
        <v>6.2128469059999993</v>
      </c>
      <c r="N5" s="19">
        <v>0</v>
      </c>
      <c r="O5" s="34">
        <v>0</v>
      </c>
      <c r="P5" s="34">
        <f t="shared" si="1"/>
        <v>-6.2128469059999993</v>
      </c>
      <c r="Q5" s="21">
        <f t="shared" si="2"/>
        <v>6.2128469059999993</v>
      </c>
    </row>
    <row r="6" spans="1:17" x14ac:dyDescent="0.25">
      <c r="A6" s="18" t="s">
        <v>26</v>
      </c>
      <c r="B6" s="19" t="s">
        <v>1118</v>
      </c>
      <c r="C6" s="28">
        <f t="shared" ref="C6:C7" si="3">I6*3%+I6</f>
        <v>6.8083</v>
      </c>
      <c r="D6" s="19" t="s">
        <v>13</v>
      </c>
      <c r="E6" s="19" t="s">
        <v>23</v>
      </c>
      <c r="F6" s="19" t="s">
        <v>24</v>
      </c>
      <c r="G6" s="19" t="s">
        <v>25</v>
      </c>
      <c r="H6" s="19" t="s">
        <v>25</v>
      </c>
      <c r="I6" s="19">
        <v>6.61</v>
      </c>
      <c r="J6" s="19" t="s">
        <v>13</v>
      </c>
      <c r="K6" s="19" t="s">
        <v>18</v>
      </c>
      <c r="L6" s="19" t="s">
        <v>26</v>
      </c>
      <c r="M6" s="34">
        <f t="shared" si="0"/>
        <v>8.262961378</v>
      </c>
      <c r="N6" s="19">
        <v>0</v>
      </c>
      <c r="O6" s="34">
        <v>0</v>
      </c>
      <c r="P6" s="34">
        <f t="shared" si="1"/>
        <v>-8.262961378</v>
      </c>
      <c r="Q6" s="21">
        <f t="shared" si="2"/>
        <v>8.262961378</v>
      </c>
    </row>
    <row r="7" spans="1:17" x14ac:dyDescent="0.25">
      <c r="A7" s="18" t="s">
        <v>28</v>
      </c>
      <c r="B7" s="19" t="s">
        <v>1119</v>
      </c>
      <c r="C7" s="28">
        <f t="shared" si="3"/>
        <v>10.691400000000002</v>
      </c>
      <c r="D7" s="19" t="s">
        <v>13</v>
      </c>
      <c r="E7" s="19" t="s">
        <v>23</v>
      </c>
      <c r="F7" s="19" t="s">
        <v>24</v>
      </c>
      <c r="G7" s="19" t="s">
        <v>25</v>
      </c>
      <c r="H7" s="19" t="s">
        <v>25</v>
      </c>
      <c r="I7" s="19">
        <v>10.38</v>
      </c>
      <c r="J7" s="19" t="s">
        <v>13</v>
      </c>
      <c r="K7" s="19" t="s">
        <v>18</v>
      </c>
      <c r="L7" s="19" t="s">
        <v>28</v>
      </c>
      <c r="M7" s="34">
        <f t="shared" si="0"/>
        <v>12.975724524000002</v>
      </c>
      <c r="N7" s="19">
        <v>0</v>
      </c>
      <c r="O7" s="34">
        <v>0</v>
      </c>
      <c r="P7" s="34">
        <f t="shared" si="1"/>
        <v>-12.975724524000002</v>
      </c>
      <c r="Q7" s="21">
        <f t="shared" si="2"/>
        <v>12.975724524000002</v>
      </c>
    </row>
    <row r="8" spans="1:17" x14ac:dyDescent="0.25">
      <c r="A8" s="18" t="s">
        <v>30</v>
      </c>
      <c r="B8" s="19" t="s">
        <v>1120</v>
      </c>
      <c r="C8" s="28">
        <v>58</v>
      </c>
      <c r="D8" s="19" t="s">
        <v>32</v>
      </c>
      <c r="E8" s="19"/>
      <c r="F8" s="19" t="s">
        <v>33</v>
      </c>
      <c r="G8" s="19" t="s">
        <v>34</v>
      </c>
      <c r="H8" s="19" t="s">
        <v>35</v>
      </c>
      <c r="I8" s="19">
        <v>55.52</v>
      </c>
      <c r="J8" s="19" t="s">
        <v>32</v>
      </c>
      <c r="K8" s="19" t="s">
        <v>18</v>
      </c>
      <c r="L8" s="19" t="s">
        <v>30</v>
      </c>
      <c r="M8" s="34">
        <f t="shared" si="0"/>
        <v>70.39228</v>
      </c>
      <c r="N8" s="19">
        <v>0</v>
      </c>
      <c r="O8" s="34">
        <v>0</v>
      </c>
      <c r="P8" s="34">
        <f t="shared" si="1"/>
        <v>-70.39228</v>
      </c>
      <c r="Q8" s="21">
        <f t="shared" si="2"/>
        <v>70.39228</v>
      </c>
    </row>
    <row r="9" spans="1:17" x14ac:dyDescent="0.25">
      <c r="A9" s="18" t="s">
        <v>36</v>
      </c>
      <c r="B9" s="19" t="s">
        <v>1121</v>
      </c>
      <c r="C9" s="28">
        <f>I9*3%+I9</f>
        <v>6.3860000000000001</v>
      </c>
      <c r="D9" s="19" t="s">
        <v>13</v>
      </c>
      <c r="E9" s="19" t="s">
        <v>23</v>
      </c>
      <c r="F9" s="19" t="s">
        <v>24</v>
      </c>
      <c r="G9" s="19" t="s">
        <v>25</v>
      </c>
      <c r="H9" s="19" t="s">
        <v>25</v>
      </c>
      <c r="I9" s="19">
        <v>6.2</v>
      </c>
      <c r="J9" s="19" t="s">
        <v>13</v>
      </c>
      <c r="K9" s="19" t="s">
        <v>18</v>
      </c>
      <c r="L9" s="19" t="s">
        <v>36</v>
      </c>
      <c r="M9" s="34">
        <f t="shared" si="0"/>
        <v>7.7504327599999998</v>
      </c>
      <c r="N9" s="19">
        <v>0</v>
      </c>
      <c r="O9" s="34">
        <v>0</v>
      </c>
      <c r="P9" s="34">
        <f t="shared" si="1"/>
        <v>-7.7504327599999998</v>
      </c>
      <c r="Q9" s="21">
        <f t="shared" si="2"/>
        <v>7.7504327599999998</v>
      </c>
    </row>
    <row r="10" spans="1:17" x14ac:dyDescent="0.25">
      <c r="A10" s="18" t="s">
        <v>38</v>
      </c>
      <c r="B10" s="19" t="s">
        <v>1122</v>
      </c>
      <c r="C10" s="28">
        <f t="shared" ref="C10:C18" si="4">I10*3%+I10</f>
        <v>8.9506999999999994</v>
      </c>
      <c r="D10" s="19" t="s">
        <v>13</v>
      </c>
      <c r="E10" s="19" t="s">
        <v>23</v>
      </c>
      <c r="F10" s="19" t="s">
        <v>24</v>
      </c>
      <c r="G10" s="19" t="s">
        <v>25</v>
      </c>
      <c r="H10" s="19" t="s">
        <v>25</v>
      </c>
      <c r="I10" s="19">
        <v>8.69</v>
      </c>
      <c r="J10" s="19" t="s">
        <v>13</v>
      </c>
      <c r="K10" s="19" t="s">
        <v>18</v>
      </c>
      <c r="L10" s="19" t="s">
        <v>38</v>
      </c>
      <c r="M10" s="34">
        <f t="shared" si="0"/>
        <v>10.863106561999999</v>
      </c>
      <c r="N10" s="19">
        <v>0</v>
      </c>
      <c r="O10" s="34">
        <v>0</v>
      </c>
      <c r="P10" s="34">
        <f t="shared" si="1"/>
        <v>-10.863106561999999</v>
      </c>
      <c r="Q10" s="21">
        <f t="shared" si="2"/>
        <v>10.863106561999999</v>
      </c>
    </row>
    <row r="11" spans="1:17" x14ac:dyDescent="0.25">
      <c r="A11" s="18" t="s">
        <v>40</v>
      </c>
      <c r="B11" s="19" t="s">
        <v>1123</v>
      </c>
      <c r="C11" s="28">
        <f t="shared" si="4"/>
        <v>10.475099999999999</v>
      </c>
      <c r="D11" s="19" t="s">
        <v>13</v>
      </c>
      <c r="E11" s="19" t="s">
        <v>23</v>
      </c>
      <c r="F11" s="19" t="s">
        <v>24</v>
      </c>
      <c r="G11" s="19" t="s">
        <v>25</v>
      </c>
      <c r="H11" s="19" t="s">
        <v>25</v>
      </c>
      <c r="I11" s="19">
        <v>10.17</v>
      </c>
      <c r="J11" s="19" t="s">
        <v>13</v>
      </c>
      <c r="K11" s="19" t="s">
        <v>18</v>
      </c>
      <c r="L11" s="19" t="s">
        <v>40</v>
      </c>
      <c r="M11" s="34">
        <f t="shared" si="0"/>
        <v>12.713209866</v>
      </c>
      <c r="N11" s="19">
        <v>0</v>
      </c>
      <c r="O11" s="34">
        <v>0</v>
      </c>
      <c r="P11" s="34">
        <f t="shared" si="1"/>
        <v>-12.713209866</v>
      </c>
      <c r="Q11" s="21">
        <f t="shared" si="2"/>
        <v>12.713209866</v>
      </c>
    </row>
    <row r="12" spans="1:17" x14ac:dyDescent="0.25">
      <c r="A12" s="18" t="s">
        <v>42</v>
      </c>
      <c r="B12" s="19" t="s">
        <v>1124</v>
      </c>
      <c r="C12" s="28">
        <f t="shared" si="4"/>
        <v>48.667499999999997</v>
      </c>
      <c r="D12" s="19" t="s">
        <v>13</v>
      </c>
      <c r="E12" s="19" t="s">
        <v>14</v>
      </c>
      <c r="F12" s="19" t="s">
        <v>44</v>
      </c>
      <c r="G12" s="19" t="s">
        <v>45</v>
      </c>
      <c r="H12" s="19" t="s">
        <v>46</v>
      </c>
      <c r="I12" s="19">
        <v>47.25</v>
      </c>
      <c r="J12" s="19" t="s">
        <v>13</v>
      </c>
      <c r="K12" s="19" t="s">
        <v>18</v>
      </c>
      <c r="L12" s="19" t="s">
        <v>42</v>
      </c>
      <c r="M12" s="34">
        <f t="shared" si="0"/>
        <v>59.065798049999991</v>
      </c>
      <c r="N12" s="19">
        <v>0</v>
      </c>
      <c r="O12" s="34">
        <v>0</v>
      </c>
      <c r="P12" s="34">
        <f t="shared" si="1"/>
        <v>-59.065798049999991</v>
      </c>
      <c r="Q12" s="21">
        <f t="shared" si="2"/>
        <v>59.065798049999991</v>
      </c>
    </row>
    <row r="13" spans="1:17" x14ac:dyDescent="0.25">
      <c r="A13" s="18" t="s">
        <v>47</v>
      </c>
      <c r="B13" s="19" t="s">
        <v>1125</v>
      </c>
      <c r="C13" s="28">
        <f t="shared" si="4"/>
        <v>5.4074999999999998</v>
      </c>
      <c r="D13" s="19" t="s">
        <v>32</v>
      </c>
      <c r="E13" s="19" t="s">
        <v>23</v>
      </c>
      <c r="F13" s="19" t="s">
        <v>49</v>
      </c>
      <c r="G13" s="19" t="s">
        <v>50</v>
      </c>
      <c r="H13" s="19" t="s">
        <v>51</v>
      </c>
      <c r="I13" s="19">
        <v>5.25</v>
      </c>
      <c r="J13" s="19" t="s">
        <v>32</v>
      </c>
      <c r="K13" s="19" t="s">
        <v>18</v>
      </c>
      <c r="L13" s="19" t="s">
        <v>47</v>
      </c>
      <c r="M13" s="34">
        <f t="shared" si="0"/>
        <v>6.5628664499999996</v>
      </c>
      <c r="N13" s="19" t="s">
        <v>47</v>
      </c>
      <c r="O13" s="34">
        <v>6.5610999999999997</v>
      </c>
      <c r="P13" s="34">
        <f t="shared" si="1"/>
        <v>-1.766449999999864E-3</v>
      </c>
      <c r="Q13" s="21">
        <f t="shared" si="2"/>
        <v>6.5628664499999996</v>
      </c>
    </row>
    <row r="14" spans="1:17" x14ac:dyDescent="0.25">
      <c r="A14" s="18" t="s">
        <v>52</v>
      </c>
      <c r="B14" s="19" t="s">
        <v>1126</v>
      </c>
      <c r="C14" s="28">
        <f t="shared" si="4"/>
        <v>5.4074999999999998</v>
      </c>
      <c r="D14" s="19" t="s">
        <v>32</v>
      </c>
      <c r="E14" s="19" t="s">
        <v>23</v>
      </c>
      <c r="F14" s="19" t="s">
        <v>49</v>
      </c>
      <c r="G14" s="19" t="s">
        <v>50</v>
      </c>
      <c r="H14" s="19" t="s">
        <v>51</v>
      </c>
      <c r="I14" s="19">
        <v>5.25</v>
      </c>
      <c r="J14" s="19" t="s">
        <v>32</v>
      </c>
      <c r="K14" s="19" t="s">
        <v>18</v>
      </c>
      <c r="L14" s="19" t="s">
        <v>52</v>
      </c>
      <c r="M14" s="34">
        <f t="shared" si="0"/>
        <v>6.5628664499999996</v>
      </c>
      <c r="N14" s="19" t="s">
        <v>52</v>
      </c>
      <c r="O14" s="34">
        <v>6.5610999999999997</v>
      </c>
      <c r="P14" s="34">
        <f t="shared" si="1"/>
        <v>-1.766449999999864E-3</v>
      </c>
      <c r="Q14" s="21">
        <f t="shared" si="2"/>
        <v>6.5628664499999996</v>
      </c>
    </row>
    <row r="15" spans="1:17" x14ac:dyDescent="0.25">
      <c r="A15" s="18" t="s">
        <v>54</v>
      </c>
      <c r="B15" s="19" t="s">
        <v>1127</v>
      </c>
      <c r="C15" s="28">
        <f t="shared" si="4"/>
        <v>5.4074999999999998</v>
      </c>
      <c r="D15" s="19" t="s">
        <v>32</v>
      </c>
      <c r="E15" s="19" t="s">
        <v>23</v>
      </c>
      <c r="F15" s="19" t="s">
        <v>49</v>
      </c>
      <c r="G15" s="19" t="s">
        <v>50</v>
      </c>
      <c r="H15" s="19" t="s">
        <v>51</v>
      </c>
      <c r="I15" s="19">
        <v>5.25</v>
      </c>
      <c r="J15" s="19" t="s">
        <v>32</v>
      </c>
      <c r="K15" s="19" t="s">
        <v>18</v>
      </c>
      <c r="L15" s="19" t="s">
        <v>54</v>
      </c>
      <c r="M15" s="34">
        <f t="shared" si="0"/>
        <v>6.5628664499999996</v>
      </c>
      <c r="N15" s="19" t="s">
        <v>54</v>
      </c>
      <c r="O15" s="34">
        <v>6.5610999999999997</v>
      </c>
      <c r="P15" s="34">
        <f t="shared" si="1"/>
        <v>-1.766449999999864E-3</v>
      </c>
      <c r="Q15" s="21">
        <f t="shared" si="2"/>
        <v>6.5628664499999996</v>
      </c>
    </row>
    <row r="16" spans="1:17" x14ac:dyDescent="0.25">
      <c r="A16" s="18" t="s">
        <v>56</v>
      </c>
      <c r="B16" s="19" t="s">
        <v>1128</v>
      </c>
      <c r="C16" s="28">
        <f t="shared" si="4"/>
        <v>244.11</v>
      </c>
      <c r="D16" s="19" t="s">
        <v>32</v>
      </c>
      <c r="E16" s="19" t="s">
        <v>14</v>
      </c>
      <c r="F16" s="19" t="s">
        <v>44</v>
      </c>
      <c r="G16" s="19" t="s">
        <v>45</v>
      </c>
      <c r="H16" s="19" t="s">
        <v>46</v>
      </c>
      <c r="I16" s="19">
        <v>237</v>
      </c>
      <c r="J16" s="19" t="s">
        <v>32</v>
      </c>
      <c r="K16" s="19" t="s">
        <v>18</v>
      </c>
      <c r="L16" s="19" t="s">
        <v>56</v>
      </c>
      <c r="M16" s="34">
        <f t="shared" si="0"/>
        <v>296.26654259999998</v>
      </c>
      <c r="N16" s="19">
        <v>0</v>
      </c>
      <c r="O16" s="34">
        <v>0</v>
      </c>
      <c r="P16" s="34">
        <f t="shared" si="1"/>
        <v>-296.26654259999998</v>
      </c>
      <c r="Q16" s="21">
        <f t="shared" si="2"/>
        <v>296.26654259999998</v>
      </c>
    </row>
    <row r="17" spans="1:17" x14ac:dyDescent="0.25">
      <c r="A17" s="18" t="s">
        <v>58</v>
      </c>
      <c r="B17" s="19" t="s">
        <v>1129</v>
      </c>
      <c r="C17" s="28">
        <f t="shared" si="4"/>
        <v>284.78469999999999</v>
      </c>
      <c r="D17" s="19" t="s">
        <v>32</v>
      </c>
      <c r="E17" s="19" t="s">
        <v>14</v>
      </c>
      <c r="F17" s="19" t="s">
        <v>44</v>
      </c>
      <c r="G17" s="19" t="s">
        <v>45</v>
      </c>
      <c r="H17" s="19" t="s">
        <v>46</v>
      </c>
      <c r="I17" s="19">
        <v>276.49</v>
      </c>
      <c r="J17" s="19" t="s">
        <v>32</v>
      </c>
      <c r="K17" s="19" t="s">
        <v>18</v>
      </c>
      <c r="L17" s="19" t="s">
        <v>58</v>
      </c>
      <c r="M17" s="34">
        <f t="shared" si="0"/>
        <v>345.63179900199998</v>
      </c>
      <c r="N17" s="19">
        <v>0</v>
      </c>
      <c r="O17" s="34">
        <v>0</v>
      </c>
      <c r="P17" s="34">
        <f t="shared" si="1"/>
        <v>-345.63179900199998</v>
      </c>
      <c r="Q17" s="21">
        <f t="shared" si="2"/>
        <v>345.63179900199998</v>
      </c>
    </row>
    <row r="18" spans="1:17" x14ac:dyDescent="0.25">
      <c r="A18" s="18" t="s">
        <v>60</v>
      </c>
      <c r="B18" s="19" t="s">
        <v>1130</v>
      </c>
      <c r="C18" s="28">
        <f t="shared" si="4"/>
        <v>325.48</v>
      </c>
      <c r="D18" s="19" t="s">
        <v>32</v>
      </c>
      <c r="E18" s="19" t="s">
        <v>14</v>
      </c>
      <c r="F18" s="19" t="s">
        <v>44</v>
      </c>
      <c r="G18" s="19" t="s">
        <v>45</v>
      </c>
      <c r="H18" s="19" t="s">
        <v>46</v>
      </c>
      <c r="I18" s="19">
        <v>316</v>
      </c>
      <c r="J18" s="19" t="s">
        <v>32</v>
      </c>
      <c r="K18" s="19" t="s">
        <v>18</v>
      </c>
      <c r="L18" s="19" t="s">
        <v>60</v>
      </c>
      <c r="M18" s="34">
        <f t="shared" si="0"/>
        <v>395.02205680000003</v>
      </c>
      <c r="N18" s="19">
        <v>0</v>
      </c>
      <c r="O18" s="34">
        <v>0</v>
      </c>
      <c r="P18" s="34">
        <f t="shared" si="1"/>
        <v>-395.02205680000003</v>
      </c>
      <c r="Q18" s="21">
        <f t="shared" si="2"/>
        <v>395.02205680000003</v>
      </c>
    </row>
    <row r="19" spans="1:17" x14ac:dyDescent="0.25">
      <c r="A19" s="18" t="s">
        <v>62</v>
      </c>
      <c r="B19" s="19" t="s">
        <v>1131</v>
      </c>
      <c r="C19" s="28">
        <v>67</v>
      </c>
      <c r="D19" s="19" t="s">
        <v>32</v>
      </c>
      <c r="E19" s="19"/>
      <c r="F19" s="19" t="s">
        <v>33</v>
      </c>
      <c r="G19" s="19" t="s">
        <v>34</v>
      </c>
      <c r="H19" s="19" t="s">
        <v>35</v>
      </c>
      <c r="I19" s="19">
        <v>84.44</v>
      </c>
      <c r="J19" s="19" t="s">
        <v>32</v>
      </c>
      <c r="K19" s="19" t="s">
        <v>18</v>
      </c>
      <c r="L19" s="19" t="s">
        <v>62</v>
      </c>
      <c r="M19" s="34">
        <f t="shared" si="0"/>
        <v>81.315219999999997</v>
      </c>
      <c r="N19" s="19">
        <v>0</v>
      </c>
      <c r="O19" s="34">
        <v>0</v>
      </c>
      <c r="P19" s="34">
        <f t="shared" si="1"/>
        <v>-81.315219999999997</v>
      </c>
      <c r="Q19" s="21">
        <f t="shared" si="2"/>
        <v>81.315219999999997</v>
      </c>
    </row>
    <row r="20" spans="1:17" x14ac:dyDescent="0.25">
      <c r="A20" s="18" t="s">
        <v>64</v>
      </c>
      <c r="B20" s="19" t="s">
        <v>1132</v>
      </c>
      <c r="C20" s="28">
        <f>I20*3%+I20</f>
        <v>19.044699999999999</v>
      </c>
      <c r="D20" s="19" t="s">
        <v>13</v>
      </c>
      <c r="E20" s="19" t="s">
        <v>23</v>
      </c>
      <c r="F20" s="19" t="s">
        <v>24</v>
      </c>
      <c r="G20" s="19" t="s">
        <v>25</v>
      </c>
      <c r="H20" s="19" t="s">
        <v>25</v>
      </c>
      <c r="I20" s="19">
        <v>18.489999999999998</v>
      </c>
      <c r="J20" s="19" t="s">
        <v>13</v>
      </c>
      <c r="K20" s="19" t="s">
        <v>18</v>
      </c>
      <c r="L20" s="19" t="s">
        <v>64</v>
      </c>
      <c r="M20" s="34">
        <f t="shared" si="0"/>
        <v>23.113790601999998</v>
      </c>
      <c r="N20" s="19">
        <v>0</v>
      </c>
      <c r="O20" s="34">
        <v>0</v>
      </c>
      <c r="P20" s="34">
        <f t="shared" si="1"/>
        <v>-23.113790601999998</v>
      </c>
      <c r="Q20" s="21">
        <f t="shared" si="2"/>
        <v>23.113790601999998</v>
      </c>
    </row>
    <row r="21" spans="1:17" x14ac:dyDescent="0.25">
      <c r="A21" s="18" t="s">
        <v>66</v>
      </c>
      <c r="B21" s="19" t="s">
        <v>1133</v>
      </c>
      <c r="C21" s="28">
        <v>76</v>
      </c>
      <c r="D21" s="19" t="s">
        <v>32</v>
      </c>
      <c r="E21" s="19"/>
      <c r="F21" s="19" t="s">
        <v>33</v>
      </c>
      <c r="G21" s="19" t="s">
        <v>34</v>
      </c>
      <c r="H21" s="19" t="s">
        <v>35</v>
      </c>
      <c r="I21" s="19">
        <v>59.02</v>
      </c>
      <c r="J21" s="19" t="s">
        <v>32</v>
      </c>
      <c r="K21" s="19" t="s">
        <v>18</v>
      </c>
      <c r="L21" s="19" t="s">
        <v>66</v>
      </c>
      <c r="M21" s="34">
        <f t="shared" si="0"/>
        <v>92.238159999999993</v>
      </c>
      <c r="N21" s="19">
        <v>0</v>
      </c>
      <c r="O21" s="34">
        <v>0</v>
      </c>
      <c r="P21" s="34">
        <f t="shared" si="1"/>
        <v>-92.238159999999993</v>
      </c>
      <c r="Q21" s="21">
        <f t="shared" si="2"/>
        <v>92.238159999999993</v>
      </c>
    </row>
    <row r="22" spans="1:17" x14ac:dyDescent="0.25">
      <c r="A22" s="18" t="s">
        <v>68</v>
      </c>
      <c r="B22" s="19" t="s">
        <v>1134</v>
      </c>
      <c r="C22" s="28">
        <v>89</v>
      </c>
      <c r="D22" s="19" t="s">
        <v>32</v>
      </c>
      <c r="E22" s="19"/>
      <c r="F22" s="19" t="s">
        <v>33</v>
      </c>
      <c r="G22" s="19" t="s">
        <v>34</v>
      </c>
      <c r="H22" s="19" t="s">
        <v>35</v>
      </c>
      <c r="I22" s="19">
        <v>67.739999999999995</v>
      </c>
      <c r="J22" s="19" t="s">
        <v>32</v>
      </c>
      <c r="K22" s="19" t="s">
        <v>18</v>
      </c>
      <c r="L22" s="19" t="s">
        <v>68</v>
      </c>
      <c r="M22" s="34">
        <f t="shared" si="0"/>
        <v>108.01573999999999</v>
      </c>
      <c r="N22" s="19">
        <v>0</v>
      </c>
      <c r="O22" s="34">
        <v>0</v>
      </c>
      <c r="P22" s="34">
        <f t="shared" si="1"/>
        <v>-108.01573999999999</v>
      </c>
      <c r="Q22" s="21">
        <f t="shared" si="2"/>
        <v>108.01573999999999</v>
      </c>
    </row>
    <row r="23" spans="1:17" x14ac:dyDescent="0.25">
      <c r="A23" s="18" t="s">
        <v>70</v>
      </c>
      <c r="B23" s="19" t="s">
        <v>1135</v>
      </c>
      <c r="C23" s="28">
        <f>I23*3%+I23</f>
        <v>60.564</v>
      </c>
      <c r="D23" s="19" t="s">
        <v>13</v>
      </c>
      <c r="E23" s="19" t="s">
        <v>14</v>
      </c>
      <c r="F23" s="19" t="s">
        <v>15</v>
      </c>
      <c r="G23" s="19" t="s">
        <v>16</v>
      </c>
      <c r="H23" s="19" t="s">
        <v>17</v>
      </c>
      <c r="I23" s="19">
        <v>58.8</v>
      </c>
      <c r="J23" s="19" t="s">
        <v>13</v>
      </c>
      <c r="K23" s="19" t="s">
        <v>18</v>
      </c>
      <c r="L23" s="19" t="s">
        <v>70</v>
      </c>
      <c r="M23" s="34">
        <f t="shared" si="0"/>
        <v>73.504104240000004</v>
      </c>
      <c r="N23" s="19">
        <v>0</v>
      </c>
      <c r="O23" s="34">
        <v>0</v>
      </c>
      <c r="P23" s="34">
        <f t="shared" si="1"/>
        <v>-73.504104240000004</v>
      </c>
      <c r="Q23" s="21">
        <f t="shared" si="2"/>
        <v>73.504104240000004</v>
      </c>
    </row>
    <row r="24" spans="1:17" x14ac:dyDescent="0.25">
      <c r="A24" s="18" t="s">
        <v>72</v>
      </c>
      <c r="B24" s="19" t="s">
        <v>1136</v>
      </c>
      <c r="C24" s="28">
        <f t="shared" ref="C24:C32" si="5">I24*3%+I24</f>
        <v>16.7684</v>
      </c>
      <c r="D24" s="19" t="s">
        <v>13</v>
      </c>
      <c r="E24" s="19" t="s">
        <v>23</v>
      </c>
      <c r="F24" s="19" t="s">
        <v>49</v>
      </c>
      <c r="G24" s="19" t="s">
        <v>50</v>
      </c>
      <c r="H24" s="19" t="s">
        <v>50</v>
      </c>
      <c r="I24" s="19">
        <v>16.28</v>
      </c>
      <c r="J24" s="19" t="s">
        <v>13</v>
      </c>
      <c r="K24" s="19" t="s">
        <v>18</v>
      </c>
      <c r="L24" s="19" t="s">
        <v>72</v>
      </c>
      <c r="M24" s="34">
        <f t="shared" si="0"/>
        <v>20.351136344</v>
      </c>
      <c r="N24" s="19" t="s">
        <v>72</v>
      </c>
      <c r="O24" s="34">
        <v>20.352799999999998</v>
      </c>
      <c r="P24" s="34">
        <f t="shared" si="1"/>
        <v>1.6636559999980705E-3</v>
      </c>
      <c r="Q24" s="21">
        <f t="shared" si="2"/>
        <v>20.351136344</v>
      </c>
    </row>
    <row r="25" spans="1:17" x14ac:dyDescent="0.25">
      <c r="A25" s="18" t="s">
        <v>74</v>
      </c>
      <c r="B25" s="19" t="s">
        <v>1137</v>
      </c>
      <c r="C25" s="28">
        <f t="shared" si="5"/>
        <v>0.90639999999999998</v>
      </c>
      <c r="D25" s="19" t="s">
        <v>13</v>
      </c>
      <c r="E25" s="19" t="s">
        <v>14</v>
      </c>
      <c r="F25" s="19" t="s">
        <v>33</v>
      </c>
      <c r="G25" s="19" t="s">
        <v>34</v>
      </c>
      <c r="H25" s="19" t="s">
        <v>76</v>
      </c>
      <c r="I25" s="19">
        <v>0.88</v>
      </c>
      <c r="J25" s="19" t="s">
        <v>13</v>
      </c>
      <c r="K25" s="19" t="s">
        <v>18</v>
      </c>
      <c r="L25" s="19" t="s">
        <v>74</v>
      </c>
      <c r="M25" s="34">
        <f t="shared" si="0"/>
        <v>1.100061424</v>
      </c>
      <c r="N25" s="19">
        <v>0</v>
      </c>
      <c r="O25" s="34">
        <v>0</v>
      </c>
      <c r="P25" s="34">
        <f t="shared" si="1"/>
        <v>-1.100061424</v>
      </c>
      <c r="Q25" s="21">
        <f t="shared" si="2"/>
        <v>1.100061424</v>
      </c>
    </row>
    <row r="26" spans="1:17" x14ac:dyDescent="0.25">
      <c r="A26" s="18" t="s">
        <v>77</v>
      </c>
      <c r="B26" s="19" t="s">
        <v>1138</v>
      </c>
      <c r="C26" s="28">
        <f t="shared" si="5"/>
        <v>12.267300000000001</v>
      </c>
      <c r="D26" s="19" t="s">
        <v>13</v>
      </c>
      <c r="E26" s="19" t="s">
        <v>23</v>
      </c>
      <c r="F26" s="19" t="s">
        <v>24</v>
      </c>
      <c r="G26" s="19" t="s">
        <v>25</v>
      </c>
      <c r="H26" s="19" t="s">
        <v>25</v>
      </c>
      <c r="I26" s="19">
        <v>11.91</v>
      </c>
      <c r="J26" s="19" t="s">
        <v>13</v>
      </c>
      <c r="K26" s="19" t="s">
        <v>18</v>
      </c>
      <c r="L26" s="19" t="s">
        <v>77</v>
      </c>
      <c r="M26" s="34">
        <f t="shared" si="0"/>
        <v>14.888331318000001</v>
      </c>
      <c r="N26" s="19">
        <v>0</v>
      </c>
      <c r="O26" s="34">
        <v>0</v>
      </c>
      <c r="P26" s="34">
        <f t="shared" si="1"/>
        <v>-14.888331318000001</v>
      </c>
      <c r="Q26" s="21">
        <f t="shared" si="2"/>
        <v>14.888331318000001</v>
      </c>
    </row>
    <row r="27" spans="1:17" x14ac:dyDescent="0.25">
      <c r="A27" s="18" t="s">
        <v>79</v>
      </c>
      <c r="B27" s="19" t="s">
        <v>1139</v>
      </c>
      <c r="C27" s="28">
        <f t="shared" si="5"/>
        <v>14.9453</v>
      </c>
      <c r="D27" s="19" t="s">
        <v>13</v>
      </c>
      <c r="E27" s="19" t="s">
        <v>23</v>
      </c>
      <c r="F27" s="19" t="s">
        <v>24</v>
      </c>
      <c r="G27" s="19" t="s">
        <v>25</v>
      </c>
      <c r="H27" s="19" t="s">
        <v>25</v>
      </c>
      <c r="I27" s="19">
        <v>14.51</v>
      </c>
      <c r="J27" s="19" t="s">
        <v>13</v>
      </c>
      <c r="K27" s="19" t="s">
        <v>18</v>
      </c>
      <c r="L27" s="19" t="s">
        <v>79</v>
      </c>
      <c r="M27" s="34">
        <f t="shared" si="0"/>
        <v>18.138512797999997</v>
      </c>
      <c r="N27" s="19">
        <v>0</v>
      </c>
      <c r="O27" s="34">
        <v>0</v>
      </c>
      <c r="P27" s="34">
        <f t="shared" si="1"/>
        <v>-18.138512797999997</v>
      </c>
      <c r="Q27" s="21">
        <f t="shared" si="2"/>
        <v>18.138512797999997</v>
      </c>
    </row>
    <row r="28" spans="1:17" x14ac:dyDescent="0.25">
      <c r="A28" s="18" t="s">
        <v>81</v>
      </c>
      <c r="B28" s="19" t="s">
        <v>1140</v>
      </c>
      <c r="C28" s="28">
        <f t="shared" si="5"/>
        <v>5.4074999999999998</v>
      </c>
      <c r="D28" s="19" t="s">
        <v>13</v>
      </c>
      <c r="E28" s="19" t="s">
        <v>14</v>
      </c>
      <c r="F28" s="19" t="s">
        <v>44</v>
      </c>
      <c r="G28" s="19" t="s">
        <v>45</v>
      </c>
      <c r="H28" s="19" t="s">
        <v>46</v>
      </c>
      <c r="I28" s="19">
        <v>5.25</v>
      </c>
      <c r="J28" s="19" t="s">
        <v>13</v>
      </c>
      <c r="K28" s="19" t="s">
        <v>18</v>
      </c>
      <c r="L28" s="19" t="s">
        <v>81</v>
      </c>
      <c r="M28" s="34">
        <f t="shared" si="0"/>
        <v>6.5628664499999996</v>
      </c>
      <c r="N28" s="19" t="s">
        <v>81</v>
      </c>
      <c r="O28" s="34">
        <v>6.5610999999999997</v>
      </c>
      <c r="P28" s="34">
        <f t="shared" si="1"/>
        <v>-1.766449999999864E-3</v>
      </c>
      <c r="Q28" s="21">
        <f t="shared" si="2"/>
        <v>6.5628664499999996</v>
      </c>
    </row>
    <row r="29" spans="1:17" x14ac:dyDescent="0.25">
      <c r="A29" s="18" t="s">
        <v>83</v>
      </c>
      <c r="B29" s="19" t="s">
        <v>1141</v>
      </c>
      <c r="C29" s="28">
        <f t="shared" si="5"/>
        <v>14.7393</v>
      </c>
      <c r="D29" s="19" t="s">
        <v>13</v>
      </c>
      <c r="E29" s="19" t="s">
        <v>14</v>
      </c>
      <c r="F29" s="19" t="s">
        <v>44</v>
      </c>
      <c r="G29" s="19" t="s">
        <v>45</v>
      </c>
      <c r="H29" s="19" t="s">
        <v>46</v>
      </c>
      <c r="I29" s="19">
        <v>14.31</v>
      </c>
      <c r="J29" s="19" t="s">
        <v>13</v>
      </c>
      <c r="K29" s="19" t="s">
        <v>18</v>
      </c>
      <c r="L29" s="19" t="s">
        <v>83</v>
      </c>
      <c r="M29" s="34">
        <f t="shared" si="0"/>
        <v>17.888498838</v>
      </c>
      <c r="N29" s="19">
        <v>0</v>
      </c>
      <c r="O29" s="34">
        <v>0</v>
      </c>
      <c r="P29" s="34">
        <f t="shared" si="1"/>
        <v>-17.888498838</v>
      </c>
      <c r="Q29" s="21">
        <f t="shared" si="2"/>
        <v>17.888498838</v>
      </c>
    </row>
    <row r="30" spans="1:17" x14ac:dyDescent="0.25">
      <c r="A30" s="18" t="s">
        <v>85</v>
      </c>
      <c r="B30" s="19" t="s">
        <v>1142</v>
      </c>
      <c r="C30" s="28">
        <f t="shared" si="5"/>
        <v>45.608400000000003</v>
      </c>
      <c r="D30" s="19" t="s">
        <v>13</v>
      </c>
      <c r="E30" s="19" t="s">
        <v>14</v>
      </c>
      <c r="F30" s="19" t="s">
        <v>44</v>
      </c>
      <c r="G30" s="19" t="s">
        <v>45</v>
      </c>
      <c r="H30" s="19" t="s">
        <v>46</v>
      </c>
      <c r="I30" s="19">
        <v>44.28</v>
      </c>
      <c r="J30" s="19" t="s">
        <v>87</v>
      </c>
      <c r="K30" s="19" t="s">
        <v>18</v>
      </c>
      <c r="L30" s="19" t="s">
        <v>85</v>
      </c>
      <c r="M30" s="34">
        <f t="shared" si="0"/>
        <v>55.353090743999999</v>
      </c>
      <c r="N30" s="19">
        <v>0</v>
      </c>
      <c r="O30" s="34">
        <v>0</v>
      </c>
      <c r="P30" s="34">
        <f t="shared" si="1"/>
        <v>-55.353090743999999</v>
      </c>
      <c r="Q30" s="21">
        <f t="shared" si="2"/>
        <v>55.353090743999999</v>
      </c>
    </row>
    <row r="31" spans="1:17" x14ac:dyDescent="0.25">
      <c r="A31" s="18" t="s">
        <v>88</v>
      </c>
      <c r="B31" s="19" t="s">
        <v>1143</v>
      </c>
      <c r="C31" s="28">
        <f t="shared" si="5"/>
        <v>19.055</v>
      </c>
      <c r="D31" s="19" t="s">
        <v>13</v>
      </c>
      <c r="E31" s="19" t="s">
        <v>23</v>
      </c>
      <c r="F31" s="19" t="s">
        <v>24</v>
      </c>
      <c r="G31" s="19" t="s">
        <v>25</v>
      </c>
      <c r="H31" s="19" t="s">
        <v>25</v>
      </c>
      <c r="I31" s="19">
        <v>18.5</v>
      </c>
      <c r="J31" s="19" t="s">
        <v>13</v>
      </c>
      <c r="K31" s="19" t="s">
        <v>18</v>
      </c>
      <c r="L31" s="19" t="s">
        <v>88</v>
      </c>
      <c r="M31" s="34">
        <f t="shared" si="0"/>
        <v>23.126291299999998</v>
      </c>
      <c r="N31" s="19">
        <v>0</v>
      </c>
      <c r="O31" s="34">
        <v>0</v>
      </c>
      <c r="P31" s="34">
        <f t="shared" si="1"/>
        <v>-23.126291299999998</v>
      </c>
      <c r="Q31" s="21">
        <f t="shared" si="2"/>
        <v>23.126291299999998</v>
      </c>
    </row>
    <row r="32" spans="1:17" x14ac:dyDescent="0.25">
      <c r="A32" s="18" t="s">
        <v>90</v>
      </c>
      <c r="B32" s="19" t="s">
        <v>1144</v>
      </c>
      <c r="C32" s="28">
        <f t="shared" si="5"/>
        <v>15.2028</v>
      </c>
      <c r="D32" s="19" t="s">
        <v>13</v>
      </c>
      <c r="E32" s="19" t="s">
        <v>23</v>
      </c>
      <c r="F32" s="19" t="s">
        <v>24</v>
      </c>
      <c r="G32" s="19" t="s">
        <v>25</v>
      </c>
      <c r="H32" s="19" t="s">
        <v>25</v>
      </c>
      <c r="I32" s="19">
        <v>14.76</v>
      </c>
      <c r="J32" s="19" t="s">
        <v>13</v>
      </c>
      <c r="K32" s="19" t="s">
        <v>18</v>
      </c>
      <c r="L32" s="19" t="s">
        <v>90</v>
      </c>
      <c r="M32" s="34">
        <f t="shared" si="0"/>
        <v>18.451030247999999</v>
      </c>
      <c r="N32" s="19">
        <v>0</v>
      </c>
      <c r="O32" s="34">
        <v>0</v>
      </c>
      <c r="P32" s="34">
        <f t="shared" si="1"/>
        <v>-18.451030247999999</v>
      </c>
      <c r="Q32" s="21">
        <f t="shared" si="2"/>
        <v>18.451030247999999</v>
      </c>
    </row>
    <row r="33" spans="1:17" x14ac:dyDescent="0.25">
      <c r="A33" s="18" t="s">
        <v>92</v>
      </c>
      <c r="B33" s="19" t="s">
        <v>1145</v>
      </c>
      <c r="C33" s="28">
        <v>50</v>
      </c>
      <c r="D33" s="19" t="s">
        <v>32</v>
      </c>
      <c r="E33" s="19"/>
      <c r="F33" s="19" t="s">
        <v>33</v>
      </c>
      <c r="G33" s="19" t="s">
        <v>34</v>
      </c>
      <c r="H33" s="19" t="s">
        <v>35</v>
      </c>
      <c r="I33" s="19">
        <v>68.11</v>
      </c>
      <c r="J33" s="19" t="s">
        <v>32</v>
      </c>
      <c r="K33" s="19" t="s">
        <v>18</v>
      </c>
      <c r="L33" s="19" t="s">
        <v>92</v>
      </c>
      <c r="M33" s="34">
        <f t="shared" si="0"/>
        <v>60.683</v>
      </c>
      <c r="N33" s="19">
        <v>0</v>
      </c>
      <c r="O33" s="34">
        <v>0</v>
      </c>
      <c r="P33" s="34">
        <f t="shared" si="1"/>
        <v>-60.683</v>
      </c>
      <c r="Q33" s="21">
        <f t="shared" si="2"/>
        <v>60.683</v>
      </c>
    </row>
    <row r="34" spans="1:17" x14ac:dyDescent="0.25">
      <c r="A34" s="18" t="s">
        <v>94</v>
      </c>
      <c r="B34" s="19" t="s">
        <v>1146</v>
      </c>
      <c r="C34" s="28">
        <f>I34*3%+I34</f>
        <v>12.5969</v>
      </c>
      <c r="D34" s="19" t="s">
        <v>13</v>
      </c>
      <c r="E34" s="19" t="s">
        <v>23</v>
      </c>
      <c r="F34" s="19" t="s">
        <v>24</v>
      </c>
      <c r="G34" s="19" t="s">
        <v>25</v>
      </c>
      <c r="H34" s="19" t="s">
        <v>25</v>
      </c>
      <c r="I34" s="19">
        <v>12.23</v>
      </c>
      <c r="J34" s="19" t="s">
        <v>13</v>
      </c>
      <c r="K34" s="19" t="s">
        <v>18</v>
      </c>
      <c r="L34" s="19" t="s">
        <v>94</v>
      </c>
      <c r="M34" s="34">
        <f t="shared" si="0"/>
        <v>15.288353654</v>
      </c>
      <c r="N34" s="19">
        <v>0</v>
      </c>
      <c r="O34" s="34">
        <v>0</v>
      </c>
      <c r="P34" s="34">
        <f t="shared" si="1"/>
        <v>-15.288353654</v>
      </c>
      <c r="Q34" s="21">
        <f t="shared" si="2"/>
        <v>15.288353654</v>
      </c>
    </row>
    <row r="35" spans="1:17" x14ac:dyDescent="0.25">
      <c r="A35" s="18" t="s">
        <v>96</v>
      </c>
      <c r="B35" s="19" t="s">
        <v>1147</v>
      </c>
      <c r="C35" s="28">
        <f t="shared" ref="C35:C39" si="6">I35*3%+I35</f>
        <v>8.3739000000000008</v>
      </c>
      <c r="D35" s="19" t="s">
        <v>13</v>
      </c>
      <c r="E35" s="19" t="s">
        <v>14</v>
      </c>
      <c r="F35" s="19" t="s">
        <v>44</v>
      </c>
      <c r="G35" s="19" t="s">
        <v>45</v>
      </c>
      <c r="H35" s="19" t="s">
        <v>46</v>
      </c>
      <c r="I35" s="19">
        <v>8.1300000000000008</v>
      </c>
      <c r="J35" s="19" t="s">
        <v>13</v>
      </c>
      <c r="K35" s="19" t="s">
        <v>18</v>
      </c>
      <c r="L35" s="19" t="s">
        <v>96</v>
      </c>
      <c r="M35" s="34">
        <f t="shared" si="0"/>
        <v>10.163067474</v>
      </c>
      <c r="N35" s="19">
        <v>0</v>
      </c>
      <c r="O35" s="34">
        <v>0</v>
      </c>
      <c r="P35" s="34">
        <f t="shared" si="1"/>
        <v>-10.163067474</v>
      </c>
      <c r="Q35" s="21">
        <f t="shared" si="2"/>
        <v>10.163067474</v>
      </c>
    </row>
    <row r="36" spans="1:17" x14ac:dyDescent="0.25">
      <c r="A36" s="18" t="s">
        <v>98</v>
      </c>
      <c r="B36" s="19" t="s">
        <v>1148</v>
      </c>
      <c r="C36" s="28">
        <f t="shared" si="6"/>
        <v>13.1325</v>
      </c>
      <c r="D36" s="19" t="s">
        <v>13</v>
      </c>
      <c r="E36" s="19" t="s">
        <v>14</v>
      </c>
      <c r="F36" s="19" t="s">
        <v>44</v>
      </c>
      <c r="G36" s="19" t="s">
        <v>45</v>
      </c>
      <c r="H36" s="19" t="s">
        <v>46</v>
      </c>
      <c r="I36" s="19">
        <v>12.75</v>
      </c>
      <c r="J36" s="19" t="s">
        <v>13</v>
      </c>
      <c r="K36" s="19" t="s">
        <v>18</v>
      </c>
      <c r="L36" s="19" t="s">
        <v>98</v>
      </c>
      <c r="M36" s="34">
        <f t="shared" si="0"/>
        <v>15.938389949999999</v>
      </c>
      <c r="N36" s="19">
        <v>0</v>
      </c>
      <c r="O36" s="34">
        <v>0</v>
      </c>
      <c r="P36" s="34">
        <f t="shared" si="1"/>
        <v>-15.938389949999999</v>
      </c>
      <c r="Q36" s="21">
        <f t="shared" si="2"/>
        <v>15.938389949999999</v>
      </c>
    </row>
    <row r="37" spans="1:17" x14ac:dyDescent="0.25">
      <c r="A37" s="18" t="s">
        <v>100</v>
      </c>
      <c r="B37" s="19" t="s">
        <v>1149</v>
      </c>
      <c r="C37" s="28">
        <f t="shared" si="6"/>
        <v>11.700799999999999</v>
      </c>
      <c r="D37" s="19" t="s">
        <v>13</v>
      </c>
      <c r="E37" s="19" t="s">
        <v>23</v>
      </c>
      <c r="F37" s="19" t="s">
        <v>24</v>
      </c>
      <c r="G37" s="19" t="s">
        <v>25</v>
      </c>
      <c r="H37" s="19" t="s">
        <v>25</v>
      </c>
      <c r="I37" s="19">
        <v>11.36</v>
      </c>
      <c r="J37" s="19" t="s">
        <v>13</v>
      </c>
      <c r="K37" s="19" t="s">
        <v>18</v>
      </c>
      <c r="L37" s="19" t="s">
        <v>100</v>
      </c>
      <c r="M37" s="34">
        <f t="shared" si="0"/>
        <v>14.200792927999998</v>
      </c>
      <c r="N37" s="19">
        <v>0</v>
      </c>
      <c r="O37" s="34">
        <v>0</v>
      </c>
      <c r="P37" s="34">
        <f t="shared" si="1"/>
        <v>-14.200792927999998</v>
      </c>
      <c r="Q37" s="21">
        <f t="shared" si="2"/>
        <v>14.200792927999998</v>
      </c>
    </row>
    <row r="38" spans="1:17" x14ac:dyDescent="0.25">
      <c r="A38" s="18" t="s">
        <v>102</v>
      </c>
      <c r="B38" s="19" t="s">
        <v>1150</v>
      </c>
      <c r="C38" s="28">
        <f t="shared" si="6"/>
        <v>10.9283</v>
      </c>
      <c r="D38" s="19" t="s">
        <v>13</v>
      </c>
      <c r="E38" s="19" t="s">
        <v>14</v>
      </c>
      <c r="F38" s="19" t="s">
        <v>44</v>
      </c>
      <c r="G38" s="19" t="s">
        <v>45</v>
      </c>
      <c r="H38" s="19" t="s">
        <v>46</v>
      </c>
      <c r="I38" s="19">
        <v>10.61</v>
      </c>
      <c r="J38" s="19" t="s">
        <v>13</v>
      </c>
      <c r="K38" s="19" t="s">
        <v>18</v>
      </c>
      <c r="L38" s="19" t="s">
        <v>102</v>
      </c>
      <c r="M38" s="34">
        <f t="shared" si="0"/>
        <v>13.263240578</v>
      </c>
      <c r="N38" s="19">
        <v>0</v>
      </c>
      <c r="O38" s="34">
        <v>0</v>
      </c>
      <c r="P38" s="34">
        <f t="shared" si="1"/>
        <v>-13.263240578</v>
      </c>
      <c r="Q38" s="21">
        <f t="shared" si="2"/>
        <v>13.263240578</v>
      </c>
    </row>
    <row r="39" spans="1:17" x14ac:dyDescent="0.25">
      <c r="A39" s="18" t="s">
        <v>104</v>
      </c>
      <c r="B39" s="19" t="s">
        <v>1151</v>
      </c>
      <c r="C39" s="28">
        <f t="shared" si="6"/>
        <v>76.395099999999999</v>
      </c>
      <c r="D39" s="19" t="s">
        <v>13</v>
      </c>
      <c r="E39" s="19" t="s">
        <v>14</v>
      </c>
      <c r="F39" s="19" t="s">
        <v>44</v>
      </c>
      <c r="G39" s="19" t="s">
        <v>45</v>
      </c>
      <c r="H39" s="19" t="s">
        <v>46</v>
      </c>
      <c r="I39" s="19">
        <v>74.17</v>
      </c>
      <c r="J39" s="19" t="s">
        <v>87</v>
      </c>
      <c r="K39" s="19" t="s">
        <v>18</v>
      </c>
      <c r="L39" s="19" t="s">
        <v>104</v>
      </c>
      <c r="M39" s="34">
        <f t="shared" si="0"/>
        <v>92.717677065999993</v>
      </c>
      <c r="N39" s="19">
        <v>0</v>
      </c>
      <c r="O39" s="34">
        <v>0</v>
      </c>
      <c r="P39" s="34">
        <f t="shared" si="1"/>
        <v>-92.717677065999993</v>
      </c>
      <c r="Q39" s="21">
        <f t="shared" si="2"/>
        <v>92.717677065999993</v>
      </c>
    </row>
    <row r="40" spans="1:17" x14ac:dyDescent="0.25">
      <c r="A40" s="18" t="s">
        <v>106</v>
      </c>
      <c r="B40" s="19" t="s">
        <v>1152</v>
      </c>
      <c r="C40" s="28">
        <v>55</v>
      </c>
      <c r="D40" s="19" t="s">
        <v>32</v>
      </c>
      <c r="E40" s="19"/>
      <c r="F40" s="19" t="s">
        <v>33</v>
      </c>
      <c r="G40" s="19" t="s">
        <v>34</v>
      </c>
      <c r="H40" s="19" t="s">
        <v>35</v>
      </c>
      <c r="I40" s="19">
        <v>51.66</v>
      </c>
      <c r="J40" s="19" t="s">
        <v>32</v>
      </c>
      <c r="K40" s="19" t="s">
        <v>18</v>
      </c>
      <c r="L40" s="19" t="s">
        <v>106</v>
      </c>
      <c r="M40" s="34">
        <f t="shared" si="0"/>
        <v>66.751300000000001</v>
      </c>
      <c r="N40" s="19">
        <v>0</v>
      </c>
      <c r="O40" s="34">
        <v>0</v>
      </c>
      <c r="P40" s="34">
        <f t="shared" si="1"/>
        <v>-66.751300000000001</v>
      </c>
      <c r="Q40" s="21">
        <f t="shared" si="2"/>
        <v>66.751300000000001</v>
      </c>
    </row>
    <row r="41" spans="1:17" x14ac:dyDescent="0.25">
      <c r="A41" s="18" t="s">
        <v>108</v>
      </c>
      <c r="B41" s="19" t="s">
        <v>1153</v>
      </c>
      <c r="C41" s="28">
        <f>I41*3%+I41</f>
        <v>130.93360000000001</v>
      </c>
      <c r="D41" s="19" t="s">
        <v>13</v>
      </c>
      <c r="E41" s="19" t="s">
        <v>23</v>
      </c>
      <c r="F41" s="19" t="s">
        <v>49</v>
      </c>
      <c r="G41" s="19" t="s">
        <v>50</v>
      </c>
      <c r="H41" s="19" t="s">
        <v>50</v>
      </c>
      <c r="I41" s="19">
        <v>127.12</v>
      </c>
      <c r="J41" s="19" t="s">
        <v>13</v>
      </c>
      <c r="K41" s="19" t="s">
        <v>18</v>
      </c>
      <c r="L41" s="19" t="s">
        <v>108</v>
      </c>
      <c r="M41" s="34">
        <f t="shared" si="0"/>
        <v>158.908872976</v>
      </c>
      <c r="N41" s="19">
        <v>0</v>
      </c>
      <c r="O41" s="34">
        <v>0</v>
      </c>
      <c r="P41" s="34">
        <f t="shared" si="1"/>
        <v>-158.908872976</v>
      </c>
      <c r="Q41" s="21">
        <f t="shared" si="2"/>
        <v>158.908872976</v>
      </c>
    </row>
    <row r="42" spans="1:17" x14ac:dyDescent="0.25">
      <c r="A42" s="18">
        <v>2419926</v>
      </c>
      <c r="B42" s="19" t="s">
        <v>1154</v>
      </c>
      <c r="C42" s="28">
        <v>45</v>
      </c>
      <c r="D42" s="19" t="s">
        <v>111</v>
      </c>
      <c r="E42" s="19" t="s">
        <v>14</v>
      </c>
      <c r="F42" s="19" t="s">
        <v>33</v>
      </c>
      <c r="G42" s="19" t="s">
        <v>34</v>
      </c>
      <c r="H42" s="19" t="s">
        <v>112</v>
      </c>
      <c r="I42" s="19">
        <v>57.07</v>
      </c>
      <c r="J42" s="19" t="s">
        <v>111</v>
      </c>
      <c r="K42" s="19" t="s">
        <v>18</v>
      </c>
      <c r="L42" s="19">
        <v>0</v>
      </c>
      <c r="M42" s="34">
        <f t="shared" si="0"/>
        <v>54.614699999999999</v>
      </c>
      <c r="N42" s="19">
        <v>0</v>
      </c>
      <c r="O42" s="34">
        <v>0</v>
      </c>
      <c r="P42" s="34">
        <f t="shared" si="1"/>
        <v>-54.614699999999999</v>
      </c>
      <c r="Q42" s="21">
        <f t="shared" si="2"/>
        <v>54.614699999999999</v>
      </c>
    </row>
    <row r="43" spans="1:17" x14ac:dyDescent="0.25">
      <c r="A43" s="18" t="s">
        <v>113</v>
      </c>
      <c r="B43" s="19" t="s">
        <v>1155</v>
      </c>
      <c r="C43" s="28">
        <f>I43*3%+I43</f>
        <v>0</v>
      </c>
      <c r="D43" s="19" t="s">
        <v>13</v>
      </c>
      <c r="E43" s="19" t="s">
        <v>14</v>
      </c>
      <c r="F43" s="19" t="s">
        <v>33</v>
      </c>
      <c r="G43" s="19" t="s">
        <v>34</v>
      </c>
      <c r="H43" s="19" t="s">
        <v>115</v>
      </c>
      <c r="I43" s="19">
        <v>0</v>
      </c>
      <c r="J43" s="19" t="s">
        <v>13</v>
      </c>
      <c r="K43" s="19" t="s">
        <v>18</v>
      </c>
      <c r="L43" s="19" t="s">
        <v>113</v>
      </c>
      <c r="M43" s="34">
        <f t="shared" si="0"/>
        <v>0</v>
      </c>
      <c r="N43" s="19">
        <v>0</v>
      </c>
      <c r="O43" s="34">
        <v>0</v>
      </c>
      <c r="P43" s="34">
        <f t="shared" si="1"/>
        <v>0</v>
      </c>
      <c r="Q43" s="21">
        <f t="shared" si="2"/>
        <v>0</v>
      </c>
    </row>
    <row r="44" spans="1:17" x14ac:dyDescent="0.25">
      <c r="A44" s="18" t="s">
        <v>116</v>
      </c>
      <c r="B44" s="19" t="s">
        <v>1156</v>
      </c>
      <c r="C44" s="28">
        <f t="shared" ref="C44:C48" si="7">I44*3%+I44</f>
        <v>4.3260000000000005</v>
      </c>
      <c r="D44" s="19" t="s">
        <v>118</v>
      </c>
      <c r="E44" s="19" t="s">
        <v>14</v>
      </c>
      <c r="F44" s="19" t="s">
        <v>119</v>
      </c>
      <c r="G44" s="19" t="s">
        <v>120</v>
      </c>
      <c r="H44" s="19" t="s">
        <v>121</v>
      </c>
      <c r="I44" s="19">
        <v>4.2</v>
      </c>
      <c r="J44" s="19" t="s">
        <v>118</v>
      </c>
      <c r="K44" s="19" t="s">
        <v>18</v>
      </c>
      <c r="L44" s="19" t="s">
        <v>116</v>
      </c>
      <c r="M44" s="34">
        <f t="shared" si="0"/>
        <v>5.25029316</v>
      </c>
      <c r="N44" s="19">
        <v>0</v>
      </c>
      <c r="O44" s="34">
        <v>0</v>
      </c>
      <c r="P44" s="34">
        <f t="shared" si="1"/>
        <v>-5.25029316</v>
      </c>
      <c r="Q44" s="21">
        <f t="shared" si="2"/>
        <v>5.25029316</v>
      </c>
    </row>
    <row r="45" spans="1:17" x14ac:dyDescent="0.25">
      <c r="A45" s="18" t="s">
        <v>122</v>
      </c>
      <c r="B45" s="19" t="s">
        <v>1157</v>
      </c>
      <c r="C45" s="28">
        <f t="shared" si="7"/>
        <v>7.21</v>
      </c>
      <c r="D45" s="19" t="s">
        <v>124</v>
      </c>
      <c r="E45" s="19" t="s">
        <v>14</v>
      </c>
      <c r="F45" s="19" t="s">
        <v>15</v>
      </c>
      <c r="G45" s="19" t="s">
        <v>16</v>
      </c>
      <c r="H45" s="19" t="s">
        <v>17</v>
      </c>
      <c r="I45" s="19">
        <v>7</v>
      </c>
      <c r="J45" s="19" t="s">
        <v>124</v>
      </c>
      <c r="K45" s="19" t="s">
        <v>18</v>
      </c>
      <c r="L45" s="19" t="s">
        <v>122</v>
      </c>
      <c r="M45" s="34">
        <f t="shared" si="0"/>
        <v>8.7504885999999988</v>
      </c>
      <c r="N45" s="19">
        <v>0</v>
      </c>
      <c r="O45" s="34">
        <v>0</v>
      </c>
      <c r="P45" s="34">
        <f t="shared" si="1"/>
        <v>-8.7504885999999988</v>
      </c>
      <c r="Q45" s="21">
        <f t="shared" si="2"/>
        <v>8.7504885999999988</v>
      </c>
    </row>
    <row r="46" spans="1:17" x14ac:dyDescent="0.25">
      <c r="A46" s="18" t="s">
        <v>125</v>
      </c>
      <c r="B46" s="19" t="s">
        <v>1158</v>
      </c>
      <c r="C46" s="28">
        <f t="shared" si="7"/>
        <v>4.3260000000000005</v>
      </c>
      <c r="D46" s="19" t="s">
        <v>32</v>
      </c>
      <c r="E46" s="19" t="s">
        <v>14</v>
      </c>
      <c r="F46" s="19" t="s">
        <v>15</v>
      </c>
      <c r="G46" s="19" t="s">
        <v>16</v>
      </c>
      <c r="H46" s="19" t="s">
        <v>17</v>
      </c>
      <c r="I46" s="19">
        <v>4.2</v>
      </c>
      <c r="J46" s="19" t="s">
        <v>32</v>
      </c>
      <c r="K46" s="19" t="s">
        <v>18</v>
      </c>
      <c r="L46" s="19" t="s">
        <v>125</v>
      </c>
      <c r="M46" s="34">
        <f t="shared" si="0"/>
        <v>5.25029316</v>
      </c>
      <c r="N46" s="19">
        <v>0</v>
      </c>
      <c r="O46" s="34">
        <v>0</v>
      </c>
      <c r="P46" s="34">
        <f t="shared" si="1"/>
        <v>-5.25029316</v>
      </c>
      <c r="Q46" s="21">
        <f t="shared" si="2"/>
        <v>5.25029316</v>
      </c>
    </row>
    <row r="47" spans="1:17" x14ac:dyDescent="0.25">
      <c r="A47" s="18" t="s">
        <v>127</v>
      </c>
      <c r="B47" s="19" t="s">
        <v>1159</v>
      </c>
      <c r="C47" s="28">
        <f t="shared" si="7"/>
        <v>12.875</v>
      </c>
      <c r="D47" s="19" t="s">
        <v>32</v>
      </c>
      <c r="E47" s="19" t="s">
        <v>14</v>
      </c>
      <c r="F47" s="19" t="s">
        <v>15</v>
      </c>
      <c r="G47" s="19" t="s">
        <v>16</v>
      </c>
      <c r="H47" s="19" t="s">
        <v>17</v>
      </c>
      <c r="I47" s="19">
        <v>12.5</v>
      </c>
      <c r="J47" s="19" t="s">
        <v>32</v>
      </c>
      <c r="K47" s="19" t="s">
        <v>18</v>
      </c>
      <c r="L47" s="19" t="s">
        <v>127</v>
      </c>
      <c r="M47" s="34">
        <f t="shared" si="0"/>
        <v>15.6258725</v>
      </c>
      <c r="N47" s="19">
        <v>0</v>
      </c>
      <c r="O47" s="34">
        <v>0</v>
      </c>
      <c r="P47" s="34">
        <f t="shared" si="1"/>
        <v>-15.6258725</v>
      </c>
      <c r="Q47" s="21">
        <f t="shared" si="2"/>
        <v>15.6258725</v>
      </c>
    </row>
    <row r="48" spans="1:17" x14ac:dyDescent="0.25">
      <c r="A48" s="18" t="s">
        <v>129</v>
      </c>
      <c r="B48" s="19" t="s">
        <v>1160</v>
      </c>
      <c r="C48" s="28">
        <f t="shared" si="7"/>
        <v>57.690300000000001</v>
      </c>
      <c r="D48" s="19" t="s">
        <v>118</v>
      </c>
      <c r="E48" s="19" t="s">
        <v>14</v>
      </c>
      <c r="F48" s="19" t="s">
        <v>131</v>
      </c>
      <c r="G48" s="19" t="s">
        <v>132</v>
      </c>
      <c r="H48" s="19" t="s">
        <v>133</v>
      </c>
      <c r="I48" s="19">
        <v>56.01</v>
      </c>
      <c r="J48" s="19" t="s">
        <v>118</v>
      </c>
      <c r="K48" s="19" t="s">
        <v>18</v>
      </c>
      <c r="L48" s="19" t="s">
        <v>129</v>
      </c>
      <c r="M48" s="34">
        <f t="shared" si="0"/>
        <v>70.016409498000002</v>
      </c>
      <c r="N48" s="19" t="s">
        <v>129</v>
      </c>
      <c r="O48" s="34">
        <v>70.019400000000005</v>
      </c>
      <c r="P48" s="34">
        <f t="shared" si="1"/>
        <v>2.9905020000029481E-3</v>
      </c>
      <c r="Q48" s="21">
        <f t="shared" si="2"/>
        <v>70.016409498000002</v>
      </c>
    </row>
    <row r="49" spans="1:17" x14ac:dyDescent="0.25">
      <c r="A49" s="18">
        <v>2297215</v>
      </c>
      <c r="B49" s="19" t="s">
        <v>1161</v>
      </c>
      <c r="C49" s="28">
        <v>230</v>
      </c>
      <c r="D49" s="19" t="s">
        <v>111</v>
      </c>
      <c r="E49" s="19" t="s">
        <v>14</v>
      </c>
      <c r="F49" s="19" t="s">
        <v>33</v>
      </c>
      <c r="G49" s="19" t="s">
        <v>34</v>
      </c>
      <c r="H49" s="19" t="s">
        <v>135</v>
      </c>
      <c r="I49" s="19">
        <v>262.5</v>
      </c>
      <c r="J49" s="19" t="s">
        <v>111</v>
      </c>
      <c r="K49" s="19" t="s">
        <v>18</v>
      </c>
      <c r="L49" s="19">
        <v>0</v>
      </c>
      <c r="M49" s="34">
        <f t="shared" si="0"/>
        <v>279.14179999999999</v>
      </c>
      <c r="N49" s="19">
        <v>0</v>
      </c>
      <c r="O49" s="34">
        <v>0</v>
      </c>
      <c r="P49" s="34">
        <f t="shared" si="1"/>
        <v>-279.14179999999999</v>
      </c>
      <c r="Q49" s="21">
        <f t="shared" si="2"/>
        <v>279.14179999999999</v>
      </c>
    </row>
    <row r="50" spans="1:17" x14ac:dyDescent="0.25">
      <c r="A50" s="18">
        <v>2297205</v>
      </c>
      <c r="B50" s="19" t="s">
        <v>1162</v>
      </c>
      <c r="C50" s="28">
        <v>90</v>
      </c>
      <c r="D50" s="19" t="s">
        <v>111</v>
      </c>
      <c r="E50" s="19" t="s">
        <v>14</v>
      </c>
      <c r="F50" s="19" t="s">
        <v>33</v>
      </c>
      <c r="G50" s="19" t="s">
        <v>34</v>
      </c>
      <c r="H50" s="19" t="s">
        <v>135</v>
      </c>
      <c r="I50" s="19">
        <v>99.75</v>
      </c>
      <c r="J50" s="19" t="s">
        <v>111</v>
      </c>
      <c r="K50" s="19" t="s">
        <v>18</v>
      </c>
      <c r="L50" s="19">
        <v>0</v>
      </c>
      <c r="M50" s="34">
        <f t="shared" si="0"/>
        <v>109.2294</v>
      </c>
      <c r="N50" s="19">
        <v>0</v>
      </c>
      <c r="O50" s="34">
        <v>0</v>
      </c>
      <c r="P50" s="34">
        <f t="shared" si="1"/>
        <v>-109.2294</v>
      </c>
      <c r="Q50" s="21">
        <f t="shared" si="2"/>
        <v>109.2294</v>
      </c>
    </row>
    <row r="51" spans="1:17" x14ac:dyDescent="0.25">
      <c r="A51" s="18" t="s">
        <v>137</v>
      </c>
      <c r="B51" s="19" t="s">
        <v>1163</v>
      </c>
      <c r="C51" s="28" t="s">
        <v>139</v>
      </c>
      <c r="D51" s="19" t="s">
        <v>13</v>
      </c>
      <c r="E51" s="19" t="s">
        <v>14</v>
      </c>
      <c r="F51" s="19" t="s">
        <v>33</v>
      </c>
      <c r="G51" s="19" t="s">
        <v>34</v>
      </c>
      <c r="H51" s="19" t="s">
        <v>115</v>
      </c>
      <c r="I51" s="19">
        <v>0</v>
      </c>
      <c r="J51" s="19" t="s">
        <v>13</v>
      </c>
      <c r="K51" s="19" t="s">
        <v>18</v>
      </c>
      <c r="L51" s="19" t="s">
        <v>137</v>
      </c>
      <c r="M51" s="20" t="e">
        <f t="shared" si="0"/>
        <v>#VALUE!</v>
      </c>
      <c r="N51" s="19">
        <v>0</v>
      </c>
      <c r="O51" s="20">
        <v>0</v>
      </c>
      <c r="P51" s="20" t="e">
        <f t="shared" si="1"/>
        <v>#VALUE!</v>
      </c>
      <c r="Q51" s="21" t="s">
        <v>139</v>
      </c>
    </row>
    <row r="52" spans="1:17" x14ac:dyDescent="0.25">
      <c r="A52" s="18" t="s">
        <v>140</v>
      </c>
      <c r="B52" s="19" t="s">
        <v>1164</v>
      </c>
      <c r="C52" s="28">
        <f>I52*3%+I52</f>
        <v>1745.85</v>
      </c>
      <c r="D52" s="19" t="s">
        <v>13</v>
      </c>
      <c r="E52" s="19" t="s">
        <v>14</v>
      </c>
      <c r="F52" s="19" t="s">
        <v>33</v>
      </c>
      <c r="G52" s="19" t="s">
        <v>34</v>
      </c>
      <c r="H52" s="19" t="s">
        <v>115</v>
      </c>
      <c r="I52" s="19">
        <v>1695</v>
      </c>
      <c r="J52" s="19" t="s">
        <v>13</v>
      </c>
      <c r="K52" s="19" t="s">
        <v>18</v>
      </c>
      <c r="L52" s="19" t="s">
        <v>140</v>
      </c>
      <c r="M52" s="34">
        <f t="shared" si="0"/>
        <v>2118.8683109999997</v>
      </c>
      <c r="N52" s="19">
        <v>0</v>
      </c>
      <c r="O52" s="34">
        <v>0</v>
      </c>
      <c r="P52" s="34">
        <f t="shared" si="1"/>
        <v>-2118.8683109999997</v>
      </c>
      <c r="Q52" s="21">
        <f t="shared" si="2"/>
        <v>2118.8683109999997</v>
      </c>
    </row>
    <row r="53" spans="1:17" x14ac:dyDescent="0.25">
      <c r="A53" s="18" t="s">
        <v>142</v>
      </c>
      <c r="B53" s="19" t="s">
        <v>1165</v>
      </c>
      <c r="C53" s="28">
        <v>484</v>
      </c>
      <c r="D53" s="19" t="s">
        <v>13</v>
      </c>
      <c r="E53" s="19" t="s">
        <v>14</v>
      </c>
      <c r="F53" s="19" t="s">
        <v>33</v>
      </c>
      <c r="G53" s="19" t="s">
        <v>34</v>
      </c>
      <c r="H53" s="19" t="s">
        <v>115</v>
      </c>
      <c r="I53" s="19">
        <v>495.06</v>
      </c>
      <c r="J53" s="19" t="s">
        <v>13</v>
      </c>
      <c r="K53" s="19" t="s">
        <v>18</v>
      </c>
      <c r="L53" s="19" t="s">
        <v>142</v>
      </c>
      <c r="M53" s="34">
        <f t="shared" si="0"/>
        <v>587.41143999999997</v>
      </c>
      <c r="N53" s="19" t="s">
        <v>142</v>
      </c>
      <c r="O53" s="34">
        <v>618.85490000000004</v>
      </c>
      <c r="P53" s="34">
        <f t="shared" si="1"/>
        <v>31.443460000000073</v>
      </c>
      <c r="Q53" s="21">
        <f t="shared" si="2"/>
        <v>587.41143999999997</v>
      </c>
    </row>
    <row r="54" spans="1:17" x14ac:dyDescent="0.25">
      <c r="A54" s="18" t="s">
        <v>144</v>
      </c>
      <c r="B54" s="19" t="s">
        <v>1166</v>
      </c>
      <c r="C54" s="28">
        <v>567.79</v>
      </c>
      <c r="D54" s="19" t="s">
        <v>13</v>
      </c>
      <c r="E54" s="19" t="s">
        <v>14</v>
      </c>
      <c r="F54" s="19" t="s">
        <v>33</v>
      </c>
      <c r="G54" s="19" t="s">
        <v>34</v>
      </c>
      <c r="H54" s="19" t="s">
        <v>115</v>
      </c>
      <c r="I54" s="19">
        <v>551.25</v>
      </c>
      <c r="J54" s="19" t="s">
        <v>13</v>
      </c>
      <c r="K54" s="19" t="s">
        <v>18</v>
      </c>
      <c r="L54" s="19" t="s">
        <v>144</v>
      </c>
      <c r="M54" s="34">
        <f t="shared" si="0"/>
        <v>689.10401139999999</v>
      </c>
      <c r="N54" s="19">
        <v>0</v>
      </c>
      <c r="O54" s="34">
        <v>0</v>
      </c>
      <c r="P54" s="34">
        <f t="shared" si="1"/>
        <v>-689.10401139999999</v>
      </c>
      <c r="Q54" s="21">
        <f t="shared" si="2"/>
        <v>689.10401139999999</v>
      </c>
    </row>
    <row r="55" spans="1:17" x14ac:dyDescent="0.25">
      <c r="A55" s="18" t="s">
        <v>146</v>
      </c>
      <c r="B55" s="19" t="s">
        <v>1167</v>
      </c>
      <c r="C55" s="28">
        <v>2000</v>
      </c>
      <c r="D55" s="19" t="s">
        <v>13</v>
      </c>
      <c r="E55" s="19" t="s">
        <v>14</v>
      </c>
      <c r="F55" s="19" t="s">
        <v>33</v>
      </c>
      <c r="G55" s="19" t="s">
        <v>34</v>
      </c>
      <c r="H55" s="19" t="s">
        <v>115</v>
      </c>
      <c r="I55" s="19">
        <v>1632.59</v>
      </c>
      <c r="J55" s="19" t="s">
        <v>13</v>
      </c>
      <c r="K55" s="19" t="s">
        <v>18</v>
      </c>
      <c r="L55" s="19" t="s">
        <v>146</v>
      </c>
      <c r="M55" s="34">
        <f t="shared" si="0"/>
        <v>2427.3199999999997</v>
      </c>
      <c r="N55" s="19">
        <v>0</v>
      </c>
      <c r="O55" s="34">
        <v>0</v>
      </c>
      <c r="P55" s="34">
        <f t="shared" si="1"/>
        <v>-2427.3199999999997</v>
      </c>
      <c r="Q55" s="21">
        <f t="shared" si="2"/>
        <v>2427.3199999999997</v>
      </c>
    </row>
    <row r="56" spans="1:17" x14ac:dyDescent="0.25">
      <c r="A56" s="18" t="s">
        <v>148</v>
      </c>
      <c r="B56" s="19" t="s">
        <v>1168</v>
      </c>
      <c r="C56" s="28">
        <v>108.15</v>
      </c>
      <c r="D56" s="19" t="s">
        <v>13</v>
      </c>
      <c r="E56" s="19" t="s">
        <v>14</v>
      </c>
      <c r="F56" s="19" t="s">
        <v>33</v>
      </c>
      <c r="G56" s="19" t="s">
        <v>34</v>
      </c>
      <c r="H56" s="19" t="s">
        <v>115</v>
      </c>
      <c r="I56" s="19">
        <v>105</v>
      </c>
      <c r="J56" s="19" t="s">
        <v>13</v>
      </c>
      <c r="K56" s="19" t="s">
        <v>18</v>
      </c>
      <c r="L56" s="19" t="s">
        <v>148</v>
      </c>
      <c r="M56" s="34">
        <f t="shared" si="0"/>
        <v>131.257329</v>
      </c>
      <c r="N56" s="19">
        <v>0</v>
      </c>
      <c r="O56" s="34">
        <v>0</v>
      </c>
      <c r="P56" s="34">
        <f t="shared" si="1"/>
        <v>-131.257329</v>
      </c>
      <c r="Q56" s="21">
        <f t="shared" si="2"/>
        <v>131.257329</v>
      </c>
    </row>
    <row r="57" spans="1:17" x14ac:dyDescent="0.25">
      <c r="A57" s="18" t="s">
        <v>150</v>
      </c>
      <c r="B57" s="19" t="s">
        <v>1169</v>
      </c>
      <c r="C57" s="28">
        <v>121.13</v>
      </c>
      <c r="D57" s="19" t="s">
        <v>13</v>
      </c>
      <c r="E57" s="19" t="s">
        <v>14</v>
      </c>
      <c r="F57" s="19" t="s">
        <v>33</v>
      </c>
      <c r="G57" s="19" t="s">
        <v>34</v>
      </c>
      <c r="H57" s="19" t="s">
        <v>115</v>
      </c>
      <c r="I57" s="19">
        <v>117.6</v>
      </c>
      <c r="J57" s="19" t="s">
        <v>13</v>
      </c>
      <c r="K57" s="19" t="s">
        <v>18</v>
      </c>
      <c r="L57" s="19" t="s">
        <v>150</v>
      </c>
      <c r="M57" s="34">
        <f t="shared" si="0"/>
        <v>147.01063579999999</v>
      </c>
      <c r="N57" s="19">
        <v>0</v>
      </c>
      <c r="O57" s="34">
        <v>0</v>
      </c>
      <c r="P57" s="34">
        <f t="shared" si="1"/>
        <v>-147.01063579999999</v>
      </c>
      <c r="Q57" s="21">
        <f t="shared" si="2"/>
        <v>147.01063579999999</v>
      </c>
    </row>
    <row r="58" spans="1:17" x14ac:dyDescent="0.25">
      <c r="A58" s="18" t="s">
        <v>152</v>
      </c>
      <c r="B58" s="19" t="s">
        <v>1170</v>
      </c>
      <c r="C58" s="28">
        <v>151.41</v>
      </c>
      <c r="D58" s="19" t="s">
        <v>13</v>
      </c>
      <c r="E58" s="19" t="s">
        <v>14</v>
      </c>
      <c r="F58" s="19" t="s">
        <v>33</v>
      </c>
      <c r="G58" s="19" t="s">
        <v>34</v>
      </c>
      <c r="H58" s="19" t="s">
        <v>115</v>
      </c>
      <c r="I58" s="19">
        <v>147</v>
      </c>
      <c r="J58" s="19" t="s">
        <v>13</v>
      </c>
      <c r="K58" s="19" t="s">
        <v>18</v>
      </c>
      <c r="L58" s="19" t="s">
        <v>152</v>
      </c>
      <c r="M58" s="34">
        <f t="shared" si="0"/>
        <v>183.76026059999998</v>
      </c>
      <c r="N58" s="19">
        <v>0</v>
      </c>
      <c r="O58" s="34">
        <v>0</v>
      </c>
      <c r="P58" s="34">
        <f t="shared" si="1"/>
        <v>-183.76026059999998</v>
      </c>
      <c r="Q58" s="21">
        <f t="shared" si="2"/>
        <v>183.76026059999998</v>
      </c>
    </row>
    <row r="59" spans="1:17" x14ac:dyDescent="0.25">
      <c r="A59" s="18">
        <v>6670725</v>
      </c>
      <c r="B59" s="19" t="s">
        <v>1171</v>
      </c>
      <c r="C59" s="28">
        <v>75</v>
      </c>
      <c r="D59" s="19" t="s">
        <v>32</v>
      </c>
      <c r="E59" s="19" t="s">
        <v>14</v>
      </c>
      <c r="F59" s="19" t="s">
        <v>33</v>
      </c>
      <c r="G59" s="19" t="s">
        <v>34</v>
      </c>
      <c r="H59" s="19" t="s">
        <v>155</v>
      </c>
      <c r="I59" s="19">
        <v>75</v>
      </c>
      <c r="J59" s="19" t="s">
        <v>32</v>
      </c>
      <c r="K59" s="19" t="s">
        <v>18</v>
      </c>
      <c r="L59" s="19">
        <v>6670725</v>
      </c>
      <c r="M59" s="34">
        <f t="shared" si="0"/>
        <v>91.024500000000003</v>
      </c>
      <c r="N59" s="19">
        <v>0</v>
      </c>
      <c r="O59" s="34">
        <v>0</v>
      </c>
      <c r="P59" s="34">
        <f t="shared" si="1"/>
        <v>-91.024500000000003</v>
      </c>
      <c r="Q59" s="21">
        <f t="shared" si="2"/>
        <v>91.024500000000003</v>
      </c>
    </row>
    <row r="60" spans="1:17" x14ac:dyDescent="0.25">
      <c r="A60" s="18" t="s">
        <v>156</v>
      </c>
      <c r="B60" s="19" t="s">
        <v>1172</v>
      </c>
      <c r="C60" s="28">
        <f>I60*3%+I60</f>
        <v>486.67500000000001</v>
      </c>
      <c r="D60" s="19" t="s">
        <v>118</v>
      </c>
      <c r="E60" s="19" t="s">
        <v>158</v>
      </c>
      <c r="F60" s="19" t="s">
        <v>159</v>
      </c>
      <c r="G60" s="19" t="s">
        <v>160</v>
      </c>
      <c r="H60" s="19" t="s">
        <v>161</v>
      </c>
      <c r="I60" s="19">
        <v>472.5</v>
      </c>
      <c r="J60" s="19" t="s">
        <v>118</v>
      </c>
      <c r="K60" s="19" t="s">
        <v>18</v>
      </c>
      <c r="L60" s="19" t="s">
        <v>156</v>
      </c>
      <c r="M60" s="34">
        <f t="shared" si="0"/>
        <v>590.65798050000001</v>
      </c>
      <c r="N60" s="19">
        <v>0</v>
      </c>
      <c r="O60" s="34">
        <v>0</v>
      </c>
      <c r="P60" s="34">
        <f t="shared" si="1"/>
        <v>-590.65798050000001</v>
      </c>
      <c r="Q60" s="21">
        <f t="shared" si="2"/>
        <v>590.65798050000001</v>
      </c>
    </row>
    <row r="61" spans="1:17" x14ac:dyDescent="0.25">
      <c r="A61" s="18" t="s">
        <v>162</v>
      </c>
      <c r="B61" s="19" t="s">
        <v>1173</v>
      </c>
      <c r="C61" s="28">
        <v>42</v>
      </c>
      <c r="D61" s="19" t="s">
        <v>13</v>
      </c>
      <c r="E61" s="19" t="s">
        <v>14</v>
      </c>
      <c r="F61" s="19" t="s">
        <v>33</v>
      </c>
      <c r="G61" s="19" t="s">
        <v>34</v>
      </c>
      <c r="H61" s="19" t="s">
        <v>115</v>
      </c>
      <c r="I61" s="19">
        <v>338.63</v>
      </c>
      <c r="J61" s="19" t="s">
        <v>13</v>
      </c>
      <c r="K61" s="19" t="s">
        <v>18</v>
      </c>
      <c r="L61" s="19" t="s">
        <v>162</v>
      </c>
      <c r="M61" s="34">
        <f t="shared" si="0"/>
        <v>50.97372</v>
      </c>
      <c r="N61" s="19">
        <v>0</v>
      </c>
      <c r="O61" s="34">
        <v>0</v>
      </c>
      <c r="P61" s="34">
        <f t="shared" si="1"/>
        <v>-50.97372</v>
      </c>
      <c r="Q61" s="21">
        <f t="shared" si="2"/>
        <v>50.97372</v>
      </c>
    </row>
    <row r="62" spans="1:17" x14ac:dyDescent="0.25">
      <c r="A62" s="18" t="s">
        <v>164</v>
      </c>
      <c r="B62" s="19" t="s">
        <v>1174</v>
      </c>
      <c r="C62" s="28">
        <v>98</v>
      </c>
      <c r="D62" s="19" t="s">
        <v>13</v>
      </c>
      <c r="E62" s="19" t="s">
        <v>14</v>
      </c>
      <c r="F62" s="19" t="s">
        <v>33</v>
      </c>
      <c r="G62" s="19" t="s">
        <v>34</v>
      </c>
      <c r="H62" s="19" t="s">
        <v>115</v>
      </c>
      <c r="I62" s="19">
        <v>157.5</v>
      </c>
      <c r="J62" s="19" t="s">
        <v>13</v>
      </c>
      <c r="K62" s="19" t="s">
        <v>18</v>
      </c>
      <c r="L62" s="19" t="s">
        <v>164</v>
      </c>
      <c r="M62" s="34">
        <f t="shared" si="0"/>
        <v>118.93867999999999</v>
      </c>
      <c r="N62" s="19" t="s">
        <v>164</v>
      </c>
      <c r="O62" s="34">
        <v>196.8845</v>
      </c>
      <c r="P62" s="34">
        <f t="shared" si="1"/>
        <v>77.945820000000012</v>
      </c>
      <c r="Q62" s="21">
        <f t="shared" si="2"/>
        <v>118.93867999999999</v>
      </c>
    </row>
    <row r="63" spans="1:17" x14ac:dyDescent="0.25">
      <c r="A63" s="18" t="s">
        <v>166</v>
      </c>
      <c r="B63" s="19" t="s">
        <v>1175</v>
      </c>
      <c r="C63" s="28">
        <f>I63*3%+I63</f>
        <v>119.89200000000001</v>
      </c>
      <c r="D63" s="19" t="s">
        <v>124</v>
      </c>
      <c r="E63" s="19" t="s">
        <v>14</v>
      </c>
      <c r="F63" s="19" t="s">
        <v>15</v>
      </c>
      <c r="G63" s="19" t="s">
        <v>16</v>
      </c>
      <c r="H63" s="19" t="s">
        <v>17</v>
      </c>
      <c r="I63" s="19">
        <v>116.4</v>
      </c>
      <c r="J63" s="19" t="s">
        <v>124</v>
      </c>
      <c r="K63" s="19" t="s">
        <v>18</v>
      </c>
      <c r="L63" s="19" t="s">
        <v>166</v>
      </c>
      <c r="M63" s="34">
        <f t="shared" si="0"/>
        <v>145.50812472000001</v>
      </c>
      <c r="N63" s="19">
        <v>0</v>
      </c>
      <c r="O63" s="34">
        <v>0</v>
      </c>
      <c r="P63" s="34">
        <f t="shared" si="1"/>
        <v>-145.50812472000001</v>
      </c>
      <c r="Q63" s="21">
        <f t="shared" si="2"/>
        <v>145.50812472000001</v>
      </c>
    </row>
    <row r="64" spans="1:17" x14ac:dyDescent="0.25">
      <c r="A64" s="18" t="s">
        <v>168</v>
      </c>
      <c r="B64" s="19" t="s">
        <v>1176</v>
      </c>
      <c r="C64" s="28">
        <f>I64*3%+I64</f>
        <v>32.208100000000002</v>
      </c>
      <c r="D64" s="19" t="s">
        <v>13</v>
      </c>
      <c r="E64" s="19" t="s">
        <v>23</v>
      </c>
      <c r="F64" s="19" t="s">
        <v>49</v>
      </c>
      <c r="G64" s="19" t="s">
        <v>50</v>
      </c>
      <c r="H64" s="19" t="s">
        <v>50</v>
      </c>
      <c r="I64" s="19">
        <v>31.27</v>
      </c>
      <c r="J64" s="19" t="s">
        <v>13</v>
      </c>
      <c r="K64" s="19" t="s">
        <v>18</v>
      </c>
      <c r="L64" s="19" t="s">
        <v>168</v>
      </c>
      <c r="M64" s="34">
        <f t="shared" si="0"/>
        <v>39.089682646</v>
      </c>
      <c r="N64" s="19">
        <v>0</v>
      </c>
      <c r="O64" s="34">
        <v>0</v>
      </c>
      <c r="P64" s="34">
        <f t="shared" si="1"/>
        <v>-39.089682646</v>
      </c>
      <c r="Q64" s="21">
        <f t="shared" si="2"/>
        <v>39.089682646</v>
      </c>
    </row>
    <row r="65" spans="1:17" x14ac:dyDescent="0.25">
      <c r="A65" s="18" t="s">
        <v>170</v>
      </c>
      <c r="B65" s="19" t="s">
        <v>1177</v>
      </c>
      <c r="C65" s="28">
        <f>I65*3%+I65</f>
        <v>28.324999999999999</v>
      </c>
      <c r="D65" s="19" t="s">
        <v>32</v>
      </c>
      <c r="E65" s="19" t="s">
        <v>158</v>
      </c>
      <c r="F65" s="19" t="s">
        <v>159</v>
      </c>
      <c r="G65" s="19" t="s">
        <v>160</v>
      </c>
      <c r="H65" s="19" t="s">
        <v>161</v>
      </c>
      <c r="I65" s="19">
        <v>27.5</v>
      </c>
      <c r="J65" s="19" t="s">
        <v>32</v>
      </c>
      <c r="K65" s="19" t="s">
        <v>18</v>
      </c>
      <c r="L65" s="19" t="s">
        <v>170</v>
      </c>
      <c r="M65" s="34">
        <f t="shared" si="0"/>
        <v>34.3769195</v>
      </c>
      <c r="N65" s="19">
        <v>0</v>
      </c>
      <c r="O65" s="34">
        <v>0</v>
      </c>
      <c r="P65" s="34">
        <f t="shared" si="1"/>
        <v>-34.3769195</v>
      </c>
      <c r="Q65" s="21">
        <f t="shared" si="2"/>
        <v>34.3769195</v>
      </c>
    </row>
    <row r="66" spans="1:17" x14ac:dyDescent="0.25">
      <c r="A66" s="18" t="s">
        <v>172</v>
      </c>
      <c r="B66" s="19" t="s">
        <v>1178</v>
      </c>
      <c r="C66" s="28">
        <f>I66*3%+I66</f>
        <v>348.46960000000001</v>
      </c>
      <c r="D66" s="19" t="s">
        <v>32</v>
      </c>
      <c r="E66" s="19" t="s">
        <v>14</v>
      </c>
      <c r="F66" s="19" t="s">
        <v>44</v>
      </c>
      <c r="G66" s="19" t="s">
        <v>45</v>
      </c>
      <c r="H66" s="19" t="s">
        <v>23</v>
      </c>
      <c r="I66" s="19">
        <v>338.32</v>
      </c>
      <c r="J66" s="19" t="s">
        <v>32</v>
      </c>
      <c r="K66" s="19" t="s">
        <v>18</v>
      </c>
      <c r="L66" s="19" t="s">
        <v>172</v>
      </c>
      <c r="M66" s="34">
        <f t="shared" si="0"/>
        <v>422.92361473599999</v>
      </c>
      <c r="N66" s="19">
        <v>0</v>
      </c>
      <c r="O66" s="34">
        <v>0</v>
      </c>
      <c r="P66" s="34">
        <f t="shared" si="1"/>
        <v>-422.92361473599999</v>
      </c>
      <c r="Q66" s="21">
        <f t="shared" si="2"/>
        <v>422.92361473599999</v>
      </c>
    </row>
    <row r="67" spans="1:17" x14ac:dyDescent="0.25">
      <c r="A67" s="18" t="s">
        <v>174</v>
      </c>
      <c r="B67" s="19" t="s">
        <v>1179</v>
      </c>
      <c r="C67" s="28">
        <f t="shared" ref="C67:C69" si="8">I67*3%+I67</f>
        <v>33.691299999999998</v>
      </c>
      <c r="D67" s="19" t="s">
        <v>13</v>
      </c>
      <c r="E67" s="19" t="s">
        <v>14</v>
      </c>
      <c r="F67" s="19" t="s">
        <v>44</v>
      </c>
      <c r="G67" s="19" t="s">
        <v>45</v>
      </c>
      <c r="H67" s="19" t="s">
        <v>23</v>
      </c>
      <c r="I67" s="19">
        <v>32.71</v>
      </c>
      <c r="J67" s="19" t="s">
        <v>13</v>
      </c>
      <c r="K67" s="19" t="s">
        <v>18</v>
      </c>
      <c r="L67" s="19" t="s">
        <v>174</v>
      </c>
      <c r="M67" s="34">
        <f t="shared" si="0"/>
        <v>40.889783157999993</v>
      </c>
      <c r="N67" s="19" t="s">
        <v>174</v>
      </c>
      <c r="O67" s="34">
        <v>40.890999999999998</v>
      </c>
      <c r="P67" s="34">
        <f t="shared" si="1"/>
        <v>1.2168420000051583E-3</v>
      </c>
      <c r="Q67" s="21">
        <f t="shared" si="2"/>
        <v>40.889783157999993</v>
      </c>
    </row>
    <row r="68" spans="1:17" x14ac:dyDescent="0.25">
      <c r="A68" s="18" t="s">
        <v>176</v>
      </c>
      <c r="B68" s="19" t="s">
        <v>1180</v>
      </c>
      <c r="C68" s="28">
        <f t="shared" si="8"/>
        <v>259.56</v>
      </c>
      <c r="D68" s="19" t="s">
        <v>32</v>
      </c>
      <c r="E68" s="19" t="s">
        <v>14</v>
      </c>
      <c r="F68" s="19" t="s">
        <v>44</v>
      </c>
      <c r="G68" s="19" t="s">
        <v>45</v>
      </c>
      <c r="H68" s="19" t="s">
        <v>23</v>
      </c>
      <c r="I68" s="19">
        <v>252</v>
      </c>
      <c r="J68" s="19" t="s">
        <v>32</v>
      </c>
      <c r="K68" s="19" t="s">
        <v>18</v>
      </c>
      <c r="L68" s="19" t="s">
        <v>176</v>
      </c>
      <c r="M68" s="34">
        <f t="shared" ref="M68:M131" si="9">C68*1.21366</f>
        <v>315.01758960000001</v>
      </c>
      <c r="N68" s="19" t="s">
        <v>176</v>
      </c>
      <c r="O68" s="34">
        <v>315.01519999999999</v>
      </c>
      <c r="P68" s="34">
        <f t="shared" ref="P68:P131" si="10">O68-M68</f>
        <v>-2.3896000000149797E-3</v>
      </c>
      <c r="Q68" s="21">
        <f t="shared" ref="Q68:Q131" si="11">C68*1.21366</f>
        <v>315.01758960000001</v>
      </c>
    </row>
    <row r="69" spans="1:17" x14ac:dyDescent="0.25">
      <c r="A69" s="18" t="s">
        <v>178</v>
      </c>
      <c r="B69" s="19" t="s">
        <v>1181</v>
      </c>
      <c r="C69" s="28">
        <f t="shared" si="8"/>
        <v>31.0442</v>
      </c>
      <c r="D69" s="19" t="s">
        <v>124</v>
      </c>
      <c r="E69" s="19" t="s">
        <v>14</v>
      </c>
      <c r="F69" s="19" t="s">
        <v>33</v>
      </c>
      <c r="G69" s="19" t="s">
        <v>34</v>
      </c>
      <c r="H69" s="19" t="s">
        <v>180</v>
      </c>
      <c r="I69" s="19">
        <v>30.14</v>
      </c>
      <c r="J69" s="19" t="s">
        <v>124</v>
      </c>
      <c r="K69" s="19" t="s">
        <v>18</v>
      </c>
      <c r="L69" s="19" t="s">
        <v>178</v>
      </c>
      <c r="M69" s="34">
        <f t="shared" si="9"/>
        <v>37.677103771999995</v>
      </c>
      <c r="N69" s="19">
        <v>0</v>
      </c>
      <c r="O69" s="34">
        <v>0</v>
      </c>
      <c r="P69" s="34">
        <f t="shared" si="10"/>
        <v>-37.677103771999995</v>
      </c>
      <c r="Q69" s="21">
        <f t="shared" si="11"/>
        <v>37.677103771999995</v>
      </c>
    </row>
    <row r="70" spans="1:17" x14ac:dyDescent="0.25">
      <c r="A70" s="18" t="s">
        <v>181</v>
      </c>
      <c r="B70" s="19" t="s">
        <v>1182</v>
      </c>
      <c r="C70" s="28">
        <v>25</v>
      </c>
      <c r="D70" s="19" t="s">
        <v>32</v>
      </c>
      <c r="E70" s="19" t="s">
        <v>14</v>
      </c>
      <c r="F70" s="19" t="s">
        <v>15</v>
      </c>
      <c r="G70" s="19" t="s">
        <v>16</v>
      </c>
      <c r="H70" s="19" t="s">
        <v>17</v>
      </c>
      <c r="I70" s="19">
        <v>48.9</v>
      </c>
      <c r="J70" s="19" t="s">
        <v>32</v>
      </c>
      <c r="K70" s="19" t="s">
        <v>18</v>
      </c>
      <c r="L70" s="19" t="s">
        <v>181</v>
      </c>
      <c r="M70" s="34">
        <f t="shared" si="9"/>
        <v>30.3415</v>
      </c>
      <c r="N70" s="19" t="s">
        <v>181</v>
      </c>
      <c r="O70" s="34">
        <v>61.130499999999998</v>
      </c>
      <c r="P70" s="34">
        <f t="shared" si="10"/>
        <v>30.788999999999998</v>
      </c>
      <c r="Q70" s="21">
        <f t="shared" si="11"/>
        <v>30.3415</v>
      </c>
    </row>
    <row r="71" spans="1:17" x14ac:dyDescent="0.25">
      <c r="A71" s="18" t="s">
        <v>183</v>
      </c>
      <c r="B71" s="19" t="s">
        <v>1183</v>
      </c>
      <c r="C71" s="28">
        <v>30</v>
      </c>
      <c r="D71" s="19" t="s">
        <v>32</v>
      </c>
      <c r="E71" s="19" t="s">
        <v>14</v>
      </c>
      <c r="F71" s="19" t="s">
        <v>15</v>
      </c>
      <c r="G71" s="19" t="s">
        <v>16</v>
      </c>
      <c r="H71" s="19" t="s">
        <v>17</v>
      </c>
      <c r="I71" s="19">
        <v>24.47</v>
      </c>
      <c r="J71" s="19" t="s">
        <v>32</v>
      </c>
      <c r="K71" s="19" t="s">
        <v>18</v>
      </c>
      <c r="L71" s="19" t="s">
        <v>183</v>
      </c>
      <c r="M71" s="34">
        <f t="shared" si="9"/>
        <v>36.409799999999997</v>
      </c>
      <c r="N71" s="19" t="s">
        <v>183</v>
      </c>
      <c r="O71" s="34">
        <v>30.591000000000001</v>
      </c>
      <c r="P71" s="34">
        <f t="shared" si="10"/>
        <v>-5.818799999999996</v>
      </c>
      <c r="Q71" s="21">
        <f t="shared" si="11"/>
        <v>36.409799999999997</v>
      </c>
    </row>
    <row r="72" spans="1:17" x14ac:dyDescent="0.25">
      <c r="A72" s="18" t="s">
        <v>185</v>
      </c>
      <c r="B72" s="19" t="s">
        <v>1184</v>
      </c>
      <c r="C72" s="28">
        <f>I72*3%+I72</f>
        <v>17.201000000000001</v>
      </c>
      <c r="D72" s="19" t="s">
        <v>32</v>
      </c>
      <c r="E72" s="19" t="s">
        <v>14</v>
      </c>
      <c r="F72" s="19" t="s">
        <v>15</v>
      </c>
      <c r="G72" s="19" t="s">
        <v>16</v>
      </c>
      <c r="H72" s="19" t="s">
        <v>17</v>
      </c>
      <c r="I72" s="19">
        <v>16.7</v>
      </c>
      <c r="J72" s="19" t="s">
        <v>32</v>
      </c>
      <c r="K72" s="19" t="s">
        <v>18</v>
      </c>
      <c r="L72" s="19" t="s">
        <v>185</v>
      </c>
      <c r="M72" s="34">
        <f t="shared" si="9"/>
        <v>20.876165660000002</v>
      </c>
      <c r="N72" s="19" t="s">
        <v>185</v>
      </c>
      <c r="O72" s="34">
        <v>20.8781</v>
      </c>
      <c r="P72" s="34">
        <f t="shared" si="10"/>
        <v>1.934339999998258E-3</v>
      </c>
      <c r="Q72" s="21">
        <f t="shared" si="11"/>
        <v>20.876165660000002</v>
      </c>
    </row>
    <row r="73" spans="1:17" x14ac:dyDescent="0.25">
      <c r="A73" s="18" t="s">
        <v>187</v>
      </c>
      <c r="B73" s="19" t="s">
        <v>1185</v>
      </c>
      <c r="C73" s="28">
        <f>I73*3%+I73</f>
        <v>48.389399999999995</v>
      </c>
      <c r="D73" s="19" t="s">
        <v>32</v>
      </c>
      <c r="E73" s="19" t="s">
        <v>14</v>
      </c>
      <c r="F73" s="19" t="s">
        <v>15</v>
      </c>
      <c r="G73" s="19" t="s">
        <v>16</v>
      </c>
      <c r="H73" s="19" t="s">
        <v>17</v>
      </c>
      <c r="I73" s="19">
        <v>46.98</v>
      </c>
      <c r="J73" s="19" t="s">
        <v>32</v>
      </c>
      <c r="K73" s="19" t="s">
        <v>18</v>
      </c>
      <c r="L73" s="19" t="s">
        <v>187</v>
      </c>
      <c r="M73" s="34">
        <f t="shared" si="9"/>
        <v>58.728279203999989</v>
      </c>
      <c r="N73" s="19" t="s">
        <v>187</v>
      </c>
      <c r="O73" s="34">
        <v>24.802399999999999</v>
      </c>
      <c r="P73" s="34">
        <f t="shared" si="10"/>
        <v>-33.92587920399999</v>
      </c>
      <c r="Q73" s="21">
        <f t="shared" si="11"/>
        <v>58.728279203999989</v>
      </c>
    </row>
    <row r="74" spans="1:17" x14ac:dyDescent="0.25">
      <c r="A74" s="18" t="s">
        <v>189</v>
      </c>
      <c r="B74" s="19" t="s">
        <v>1186</v>
      </c>
      <c r="C74" s="28">
        <v>134</v>
      </c>
      <c r="D74" s="19" t="s">
        <v>191</v>
      </c>
      <c r="E74" s="19" t="s">
        <v>14</v>
      </c>
      <c r="F74" s="19" t="s">
        <v>33</v>
      </c>
      <c r="G74" s="19" t="s">
        <v>34</v>
      </c>
      <c r="H74" s="19" t="s">
        <v>35</v>
      </c>
      <c r="I74" s="19">
        <v>225.06</v>
      </c>
      <c r="J74" s="19" t="s">
        <v>191</v>
      </c>
      <c r="K74" s="19" t="s">
        <v>18</v>
      </c>
      <c r="L74" s="19" t="s">
        <v>189</v>
      </c>
      <c r="M74" s="34">
        <f t="shared" si="9"/>
        <v>162.63043999999999</v>
      </c>
      <c r="N74" s="19" t="s">
        <v>189</v>
      </c>
      <c r="O74" s="34">
        <v>281.34449999999998</v>
      </c>
      <c r="P74" s="34">
        <f t="shared" si="10"/>
        <v>118.71405999999999</v>
      </c>
      <c r="Q74" s="21">
        <f t="shared" si="11"/>
        <v>162.63043999999999</v>
      </c>
    </row>
    <row r="75" spans="1:17" x14ac:dyDescent="0.25">
      <c r="A75" s="18" t="s">
        <v>192</v>
      </c>
      <c r="B75" s="19" t="s">
        <v>1187</v>
      </c>
      <c r="C75" s="28">
        <v>235</v>
      </c>
      <c r="D75" s="19" t="s">
        <v>191</v>
      </c>
      <c r="E75" s="19" t="s">
        <v>14</v>
      </c>
      <c r="F75" s="19" t="s">
        <v>33</v>
      </c>
      <c r="G75" s="19" t="s">
        <v>34</v>
      </c>
      <c r="H75" s="19" t="s">
        <v>35</v>
      </c>
      <c r="I75" s="19">
        <v>245.01</v>
      </c>
      <c r="J75" s="19" t="s">
        <v>191</v>
      </c>
      <c r="K75" s="19" t="s">
        <v>18</v>
      </c>
      <c r="L75" s="19" t="s">
        <v>192</v>
      </c>
      <c r="M75" s="34">
        <f t="shared" si="9"/>
        <v>285.21010000000001</v>
      </c>
      <c r="N75" s="19" t="s">
        <v>192</v>
      </c>
      <c r="O75" s="34">
        <v>306.2808</v>
      </c>
      <c r="P75" s="34">
        <f t="shared" si="10"/>
        <v>21.070699999999988</v>
      </c>
      <c r="Q75" s="21">
        <f t="shared" si="11"/>
        <v>285.21010000000001</v>
      </c>
    </row>
    <row r="76" spans="1:17" x14ac:dyDescent="0.25">
      <c r="A76" s="18" t="s">
        <v>194</v>
      </c>
      <c r="B76" s="19" t="s">
        <v>1188</v>
      </c>
      <c r="C76" s="28">
        <v>250</v>
      </c>
      <c r="D76" s="19" t="s">
        <v>191</v>
      </c>
      <c r="E76" s="19" t="s">
        <v>14</v>
      </c>
      <c r="F76" s="19" t="s">
        <v>33</v>
      </c>
      <c r="G76" s="19" t="s">
        <v>34</v>
      </c>
      <c r="H76" s="19" t="s">
        <v>35</v>
      </c>
      <c r="I76" s="19">
        <v>262.5</v>
      </c>
      <c r="J76" s="19" t="s">
        <v>191</v>
      </c>
      <c r="K76" s="19" t="s">
        <v>18</v>
      </c>
      <c r="L76" s="19" t="s">
        <v>194</v>
      </c>
      <c r="M76" s="34">
        <f t="shared" si="9"/>
        <v>303.41499999999996</v>
      </c>
      <c r="N76" s="19" t="s">
        <v>194</v>
      </c>
      <c r="O76" s="34">
        <v>328.14769999999999</v>
      </c>
      <c r="P76" s="34">
        <f t="shared" si="10"/>
        <v>24.732700000000023</v>
      </c>
      <c r="Q76" s="21">
        <f t="shared" si="11"/>
        <v>303.41499999999996</v>
      </c>
    </row>
    <row r="77" spans="1:17" x14ac:dyDescent="0.25">
      <c r="A77" s="18" t="s">
        <v>196</v>
      </c>
      <c r="B77" s="19" t="s">
        <v>1189</v>
      </c>
      <c r="C77" s="28">
        <v>138</v>
      </c>
      <c r="D77" s="19" t="s">
        <v>191</v>
      </c>
      <c r="E77" s="19" t="s">
        <v>14</v>
      </c>
      <c r="F77" s="19" t="s">
        <v>33</v>
      </c>
      <c r="G77" s="19" t="s">
        <v>34</v>
      </c>
      <c r="H77" s="19" t="s">
        <v>198</v>
      </c>
      <c r="I77" s="19">
        <v>295</v>
      </c>
      <c r="J77" s="19" t="s">
        <v>191</v>
      </c>
      <c r="K77" s="19" t="s">
        <v>18</v>
      </c>
      <c r="L77" s="19" t="s">
        <v>196</v>
      </c>
      <c r="M77" s="34">
        <f t="shared" si="9"/>
        <v>167.48507999999998</v>
      </c>
      <c r="N77" s="19" t="s">
        <v>196</v>
      </c>
      <c r="O77" s="34">
        <v>368.77089999999998</v>
      </c>
      <c r="P77" s="34">
        <f t="shared" si="10"/>
        <v>201.28582</v>
      </c>
      <c r="Q77" s="21">
        <f t="shared" si="11"/>
        <v>167.48507999999998</v>
      </c>
    </row>
    <row r="78" spans="1:17" x14ac:dyDescent="0.25">
      <c r="A78" s="18" t="s">
        <v>199</v>
      </c>
      <c r="B78" s="19" t="s">
        <v>1190</v>
      </c>
      <c r="C78" s="28">
        <v>155</v>
      </c>
      <c r="D78" s="19" t="s">
        <v>191</v>
      </c>
      <c r="E78" s="19" t="s">
        <v>14</v>
      </c>
      <c r="F78" s="19" t="s">
        <v>33</v>
      </c>
      <c r="G78" s="19" t="s">
        <v>34</v>
      </c>
      <c r="H78" s="19" t="s">
        <v>35</v>
      </c>
      <c r="I78" s="19">
        <v>182</v>
      </c>
      <c r="J78" s="19" t="s">
        <v>191</v>
      </c>
      <c r="K78" s="19" t="s">
        <v>18</v>
      </c>
      <c r="L78" s="19" t="s">
        <v>199</v>
      </c>
      <c r="M78" s="34">
        <f t="shared" si="9"/>
        <v>188.1173</v>
      </c>
      <c r="N78" s="19" t="s">
        <v>199</v>
      </c>
      <c r="O78" s="34">
        <v>227.51669999999999</v>
      </c>
      <c r="P78" s="34">
        <f t="shared" si="10"/>
        <v>39.399399999999986</v>
      </c>
      <c r="Q78" s="21">
        <f t="shared" si="11"/>
        <v>188.1173</v>
      </c>
    </row>
    <row r="79" spans="1:17" x14ac:dyDescent="0.25">
      <c r="A79" s="18" t="s">
        <v>201</v>
      </c>
      <c r="B79" s="19" t="s">
        <v>1191</v>
      </c>
      <c r="C79" s="28">
        <v>83</v>
      </c>
      <c r="D79" s="19" t="s">
        <v>191</v>
      </c>
      <c r="E79" s="19" t="s">
        <v>14</v>
      </c>
      <c r="F79" s="19" t="s">
        <v>33</v>
      </c>
      <c r="G79" s="19" t="s">
        <v>34</v>
      </c>
      <c r="H79" s="19" t="s">
        <v>35</v>
      </c>
      <c r="I79" s="19">
        <v>91.35</v>
      </c>
      <c r="J79" s="19" t="s">
        <v>191</v>
      </c>
      <c r="K79" s="19" t="s">
        <v>18</v>
      </c>
      <c r="L79" s="19" t="s">
        <v>201</v>
      </c>
      <c r="M79" s="34">
        <f t="shared" si="9"/>
        <v>100.73378</v>
      </c>
      <c r="N79" s="19" t="s">
        <v>201</v>
      </c>
      <c r="O79" s="34">
        <v>114.1961</v>
      </c>
      <c r="P79" s="34">
        <f t="shared" si="10"/>
        <v>13.462320000000005</v>
      </c>
      <c r="Q79" s="21">
        <f t="shared" si="11"/>
        <v>100.73378</v>
      </c>
    </row>
    <row r="80" spans="1:17" x14ac:dyDescent="0.25">
      <c r="A80" s="18" t="s">
        <v>203</v>
      </c>
      <c r="B80" s="19" t="s">
        <v>1192</v>
      </c>
      <c r="C80" s="28">
        <v>158</v>
      </c>
      <c r="D80" s="19" t="s">
        <v>191</v>
      </c>
      <c r="E80" s="19" t="s">
        <v>14</v>
      </c>
      <c r="F80" s="19" t="s">
        <v>33</v>
      </c>
      <c r="G80" s="19" t="s">
        <v>34</v>
      </c>
      <c r="H80" s="19" t="s">
        <v>35</v>
      </c>
      <c r="I80" s="19">
        <v>146.79</v>
      </c>
      <c r="J80" s="19" t="s">
        <v>191</v>
      </c>
      <c r="K80" s="19" t="s">
        <v>18</v>
      </c>
      <c r="L80" s="19" t="s">
        <v>203</v>
      </c>
      <c r="M80" s="34">
        <f t="shared" si="9"/>
        <v>191.75827999999998</v>
      </c>
      <c r="N80" s="19" t="s">
        <v>203</v>
      </c>
      <c r="O80" s="34">
        <v>183.49449999999999</v>
      </c>
      <c r="P80" s="34">
        <f t="shared" si="10"/>
        <v>-8.263779999999997</v>
      </c>
      <c r="Q80" s="21">
        <f t="shared" si="11"/>
        <v>191.75827999999998</v>
      </c>
    </row>
    <row r="81" spans="1:17" x14ac:dyDescent="0.25">
      <c r="A81" s="18" t="s">
        <v>205</v>
      </c>
      <c r="B81" s="19" t="s">
        <v>1193</v>
      </c>
      <c r="C81" s="28">
        <v>68</v>
      </c>
      <c r="D81" s="19" t="s">
        <v>191</v>
      </c>
      <c r="E81" s="19" t="s">
        <v>14</v>
      </c>
      <c r="F81" s="19" t="s">
        <v>33</v>
      </c>
      <c r="G81" s="19" t="s">
        <v>34</v>
      </c>
      <c r="H81" s="19" t="s">
        <v>35</v>
      </c>
      <c r="I81" s="19">
        <v>61.25</v>
      </c>
      <c r="J81" s="19" t="s">
        <v>191</v>
      </c>
      <c r="K81" s="19" t="s">
        <v>18</v>
      </c>
      <c r="L81" s="19" t="s">
        <v>205</v>
      </c>
      <c r="M81" s="34">
        <f t="shared" si="9"/>
        <v>82.528880000000001</v>
      </c>
      <c r="N81" s="19" t="s">
        <v>205</v>
      </c>
      <c r="O81" s="34">
        <v>76.5702</v>
      </c>
      <c r="P81" s="34">
        <f t="shared" si="10"/>
        <v>-5.9586800000000011</v>
      </c>
      <c r="Q81" s="21">
        <f t="shared" si="11"/>
        <v>82.528880000000001</v>
      </c>
    </row>
    <row r="82" spans="1:17" x14ac:dyDescent="0.25">
      <c r="A82" s="18" t="s">
        <v>207</v>
      </c>
      <c r="B82" s="19" t="s">
        <v>1194</v>
      </c>
      <c r="C82" s="28">
        <v>128</v>
      </c>
      <c r="D82" s="19" t="s">
        <v>191</v>
      </c>
      <c r="E82" s="19" t="s">
        <v>14</v>
      </c>
      <c r="F82" s="19" t="s">
        <v>33</v>
      </c>
      <c r="G82" s="19" t="s">
        <v>34</v>
      </c>
      <c r="H82" s="19" t="s">
        <v>35</v>
      </c>
      <c r="I82" s="19">
        <v>122.33</v>
      </c>
      <c r="J82" s="19" t="s">
        <v>191</v>
      </c>
      <c r="K82" s="19" t="s">
        <v>18</v>
      </c>
      <c r="L82" s="19" t="s">
        <v>207</v>
      </c>
      <c r="M82" s="34">
        <f t="shared" si="9"/>
        <v>155.34848</v>
      </c>
      <c r="N82" s="19" t="s">
        <v>207</v>
      </c>
      <c r="O82" s="34">
        <v>152.92410000000001</v>
      </c>
      <c r="P82" s="34">
        <f t="shared" si="10"/>
        <v>-2.4243799999999851</v>
      </c>
      <c r="Q82" s="21">
        <f t="shared" si="11"/>
        <v>155.34848</v>
      </c>
    </row>
    <row r="83" spans="1:17" x14ac:dyDescent="0.25">
      <c r="A83" s="18" t="s">
        <v>209</v>
      </c>
      <c r="B83" s="19" t="s">
        <v>1195</v>
      </c>
      <c r="C83" s="28">
        <v>234</v>
      </c>
      <c r="D83" s="19" t="s">
        <v>191</v>
      </c>
      <c r="E83" s="19" t="s">
        <v>14</v>
      </c>
      <c r="F83" s="19" t="s">
        <v>33</v>
      </c>
      <c r="G83" s="19" t="s">
        <v>34</v>
      </c>
      <c r="H83" s="19" t="s">
        <v>35</v>
      </c>
      <c r="I83" s="19">
        <v>244.65</v>
      </c>
      <c r="J83" s="19" t="s">
        <v>191</v>
      </c>
      <c r="K83" s="19" t="s">
        <v>18</v>
      </c>
      <c r="L83" s="19" t="s">
        <v>209</v>
      </c>
      <c r="M83" s="34">
        <f t="shared" si="9"/>
        <v>283.99644000000001</v>
      </c>
      <c r="N83" s="19" t="s">
        <v>209</v>
      </c>
      <c r="O83" s="34">
        <v>305.82760000000002</v>
      </c>
      <c r="P83" s="34">
        <f t="shared" si="10"/>
        <v>21.831160000000011</v>
      </c>
      <c r="Q83" s="21">
        <f t="shared" si="11"/>
        <v>283.99644000000001</v>
      </c>
    </row>
    <row r="84" spans="1:17" x14ac:dyDescent="0.25">
      <c r="A84" s="18" t="s">
        <v>211</v>
      </c>
      <c r="B84" s="19" t="s">
        <v>1196</v>
      </c>
      <c r="C84" s="28">
        <v>135</v>
      </c>
      <c r="D84" s="19" t="s">
        <v>191</v>
      </c>
      <c r="E84" s="19" t="s">
        <v>14</v>
      </c>
      <c r="F84" s="19" t="s">
        <v>33</v>
      </c>
      <c r="G84" s="19" t="s">
        <v>34</v>
      </c>
      <c r="H84" s="19" t="s">
        <v>35</v>
      </c>
      <c r="I84" s="19">
        <v>162.75</v>
      </c>
      <c r="J84" s="19" t="s">
        <v>191</v>
      </c>
      <c r="K84" s="19" t="s">
        <v>18</v>
      </c>
      <c r="L84" s="19" t="s">
        <v>211</v>
      </c>
      <c r="M84" s="34">
        <f t="shared" si="9"/>
        <v>163.8441</v>
      </c>
      <c r="N84" s="19" t="s">
        <v>211</v>
      </c>
      <c r="O84" s="34">
        <v>203.44560000000001</v>
      </c>
      <c r="P84" s="34">
        <f t="shared" si="10"/>
        <v>39.601500000000016</v>
      </c>
      <c r="Q84" s="21">
        <f t="shared" si="11"/>
        <v>163.8441</v>
      </c>
    </row>
    <row r="85" spans="1:17" x14ac:dyDescent="0.25">
      <c r="A85" s="18" t="s">
        <v>213</v>
      </c>
      <c r="B85" s="19" t="s">
        <v>1197</v>
      </c>
      <c r="C85" s="28">
        <v>135</v>
      </c>
      <c r="D85" s="19" t="s">
        <v>191</v>
      </c>
      <c r="E85" s="19" t="s">
        <v>14</v>
      </c>
      <c r="F85" s="19" t="s">
        <v>33</v>
      </c>
      <c r="G85" s="19" t="s">
        <v>34</v>
      </c>
      <c r="H85" s="19" t="s">
        <v>35</v>
      </c>
      <c r="I85" s="19">
        <v>140.69999999999999</v>
      </c>
      <c r="J85" s="19" t="s">
        <v>191</v>
      </c>
      <c r="K85" s="19" t="s">
        <v>18</v>
      </c>
      <c r="L85" s="19" t="s">
        <v>213</v>
      </c>
      <c r="M85" s="34">
        <f t="shared" si="9"/>
        <v>163.8441</v>
      </c>
      <c r="N85" s="19" t="s">
        <v>213</v>
      </c>
      <c r="O85" s="34">
        <v>175.8828</v>
      </c>
      <c r="P85" s="34">
        <f t="shared" si="10"/>
        <v>12.038700000000006</v>
      </c>
      <c r="Q85" s="21">
        <f t="shared" si="11"/>
        <v>163.8441</v>
      </c>
    </row>
    <row r="86" spans="1:17" x14ac:dyDescent="0.25">
      <c r="A86" s="18" t="s">
        <v>215</v>
      </c>
      <c r="B86" s="19" t="s">
        <v>1198</v>
      </c>
      <c r="C86" s="28">
        <v>235</v>
      </c>
      <c r="D86" s="19" t="s">
        <v>191</v>
      </c>
      <c r="E86" s="19" t="s">
        <v>14</v>
      </c>
      <c r="F86" s="19" t="s">
        <v>33</v>
      </c>
      <c r="G86" s="19" t="s">
        <v>34</v>
      </c>
      <c r="H86" s="19" t="s">
        <v>35</v>
      </c>
      <c r="I86" s="19">
        <v>245.7</v>
      </c>
      <c r="J86" s="19" t="s">
        <v>191</v>
      </c>
      <c r="K86" s="19" t="s">
        <v>18</v>
      </c>
      <c r="L86" s="19" t="s">
        <v>215</v>
      </c>
      <c r="M86" s="34">
        <f t="shared" si="9"/>
        <v>285.21010000000001</v>
      </c>
      <c r="N86" s="19" t="s">
        <v>215</v>
      </c>
      <c r="O86" s="34">
        <v>307.14600000000002</v>
      </c>
      <c r="P86" s="34">
        <f t="shared" si="10"/>
        <v>21.935900000000004</v>
      </c>
      <c r="Q86" s="21">
        <f t="shared" si="11"/>
        <v>285.21010000000001</v>
      </c>
    </row>
    <row r="87" spans="1:17" x14ac:dyDescent="0.25">
      <c r="A87" s="18" t="s">
        <v>217</v>
      </c>
      <c r="B87" s="19" t="s">
        <v>1199</v>
      </c>
      <c r="C87" s="28">
        <v>180</v>
      </c>
      <c r="D87" s="19" t="s">
        <v>191</v>
      </c>
      <c r="E87" s="19" t="s">
        <v>14</v>
      </c>
      <c r="F87" s="19" t="s">
        <v>33</v>
      </c>
      <c r="G87" s="19" t="s">
        <v>34</v>
      </c>
      <c r="H87" s="19" t="s">
        <v>35</v>
      </c>
      <c r="I87" s="19">
        <v>189</v>
      </c>
      <c r="J87" s="19" t="s">
        <v>191</v>
      </c>
      <c r="K87" s="19" t="s">
        <v>18</v>
      </c>
      <c r="L87" s="19" t="s">
        <v>217</v>
      </c>
      <c r="M87" s="34">
        <f t="shared" si="9"/>
        <v>218.4588</v>
      </c>
      <c r="N87" s="19" t="s">
        <v>217</v>
      </c>
      <c r="O87" s="34">
        <v>236.26140000000001</v>
      </c>
      <c r="P87" s="34">
        <f t="shared" si="10"/>
        <v>17.802600000000012</v>
      </c>
      <c r="Q87" s="21">
        <f t="shared" si="11"/>
        <v>218.4588</v>
      </c>
    </row>
    <row r="88" spans="1:17" x14ac:dyDescent="0.25">
      <c r="A88" s="18" t="s">
        <v>219</v>
      </c>
      <c r="B88" s="19" t="s">
        <v>1200</v>
      </c>
      <c r="C88" s="28">
        <v>150</v>
      </c>
      <c r="D88" s="19" t="s">
        <v>191</v>
      </c>
      <c r="E88" s="19" t="s">
        <v>14</v>
      </c>
      <c r="F88" s="19" t="s">
        <v>33</v>
      </c>
      <c r="G88" s="19" t="s">
        <v>34</v>
      </c>
      <c r="H88" s="19" t="s">
        <v>35</v>
      </c>
      <c r="I88" s="19">
        <v>157.5</v>
      </c>
      <c r="J88" s="19" t="s">
        <v>191</v>
      </c>
      <c r="K88" s="19" t="s">
        <v>18</v>
      </c>
      <c r="L88" s="19" t="s">
        <v>219</v>
      </c>
      <c r="M88" s="34">
        <f t="shared" si="9"/>
        <v>182.04900000000001</v>
      </c>
      <c r="N88" s="19" t="s">
        <v>219</v>
      </c>
      <c r="O88" s="34">
        <v>196.8845</v>
      </c>
      <c r="P88" s="34">
        <f t="shared" si="10"/>
        <v>14.835499999999996</v>
      </c>
      <c r="Q88" s="21">
        <f t="shared" si="11"/>
        <v>182.04900000000001</v>
      </c>
    </row>
    <row r="89" spans="1:17" x14ac:dyDescent="0.25">
      <c r="A89" s="18" t="s">
        <v>221</v>
      </c>
      <c r="B89" s="19" t="s">
        <v>1201</v>
      </c>
      <c r="C89" s="28">
        <v>200</v>
      </c>
      <c r="D89" s="19" t="s">
        <v>191</v>
      </c>
      <c r="E89" s="19" t="s">
        <v>14</v>
      </c>
      <c r="F89" s="19" t="s">
        <v>33</v>
      </c>
      <c r="G89" s="19" t="s">
        <v>34</v>
      </c>
      <c r="H89" s="19" t="s">
        <v>198</v>
      </c>
      <c r="I89" s="19">
        <v>215.25</v>
      </c>
      <c r="J89" s="19" t="s">
        <v>191</v>
      </c>
      <c r="K89" s="19" t="s">
        <v>18</v>
      </c>
      <c r="L89" s="19" t="s">
        <v>221</v>
      </c>
      <c r="M89" s="34">
        <f t="shared" si="9"/>
        <v>242.732</v>
      </c>
      <c r="N89" s="19" t="s">
        <v>221</v>
      </c>
      <c r="O89" s="34">
        <v>269.0772</v>
      </c>
      <c r="P89" s="34">
        <f t="shared" si="10"/>
        <v>26.345200000000006</v>
      </c>
      <c r="Q89" s="21">
        <f t="shared" si="11"/>
        <v>242.732</v>
      </c>
    </row>
    <row r="90" spans="1:17" x14ac:dyDescent="0.25">
      <c r="A90" s="18" t="s">
        <v>223</v>
      </c>
      <c r="B90" s="19" t="s">
        <v>1202</v>
      </c>
      <c r="C90" s="28">
        <v>210</v>
      </c>
      <c r="D90" s="19" t="s">
        <v>191</v>
      </c>
      <c r="E90" s="19" t="s">
        <v>14</v>
      </c>
      <c r="F90" s="19" t="s">
        <v>33</v>
      </c>
      <c r="G90" s="19" t="s">
        <v>34</v>
      </c>
      <c r="H90" s="19" t="s">
        <v>35</v>
      </c>
      <c r="I90" s="19">
        <v>193.2</v>
      </c>
      <c r="J90" s="19" t="s">
        <v>191</v>
      </c>
      <c r="K90" s="19" t="s">
        <v>18</v>
      </c>
      <c r="L90" s="19" t="s">
        <v>223</v>
      </c>
      <c r="M90" s="34">
        <f t="shared" si="9"/>
        <v>254.86859999999999</v>
      </c>
      <c r="N90" s="19">
        <v>0</v>
      </c>
      <c r="O90" s="34">
        <v>0</v>
      </c>
      <c r="P90" s="34">
        <f t="shared" si="10"/>
        <v>-254.86859999999999</v>
      </c>
      <c r="Q90" s="21">
        <f t="shared" si="11"/>
        <v>254.86859999999999</v>
      </c>
    </row>
    <row r="91" spans="1:17" x14ac:dyDescent="0.25">
      <c r="A91" s="18" t="s">
        <v>225</v>
      </c>
      <c r="B91" s="19" t="s">
        <v>1203</v>
      </c>
      <c r="C91" s="28">
        <v>177</v>
      </c>
      <c r="D91" s="19" t="s">
        <v>191</v>
      </c>
      <c r="E91" s="19" t="s">
        <v>14</v>
      </c>
      <c r="F91" s="19" t="s">
        <v>33</v>
      </c>
      <c r="G91" s="19" t="s">
        <v>34</v>
      </c>
      <c r="H91" s="19" t="s">
        <v>35</v>
      </c>
      <c r="I91" s="19">
        <v>180.24</v>
      </c>
      <c r="J91" s="19" t="s">
        <v>191</v>
      </c>
      <c r="K91" s="19" t="s">
        <v>18</v>
      </c>
      <c r="L91" s="19" t="s">
        <v>225</v>
      </c>
      <c r="M91" s="34">
        <f t="shared" si="9"/>
        <v>214.81781999999998</v>
      </c>
      <c r="N91" s="19" t="s">
        <v>225</v>
      </c>
      <c r="O91" s="34">
        <v>225.3125</v>
      </c>
      <c r="P91" s="34">
        <f t="shared" si="10"/>
        <v>10.494680000000017</v>
      </c>
      <c r="Q91" s="21">
        <f t="shared" si="11"/>
        <v>214.81781999999998</v>
      </c>
    </row>
    <row r="92" spans="1:17" x14ac:dyDescent="0.25">
      <c r="A92" s="18" t="s">
        <v>227</v>
      </c>
      <c r="B92" s="19" t="s">
        <v>1204</v>
      </c>
      <c r="C92" s="28">
        <v>30.23</v>
      </c>
      <c r="D92" s="19" t="s">
        <v>191</v>
      </c>
      <c r="E92" s="19" t="s">
        <v>14</v>
      </c>
      <c r="F92" s="19" t="s">
        <v>33</v>
      </c>
      <c r="G92" s="19" t="s">
        <v>34</v>
      </c>
      <c r="H92" s="19" t="s">
        <v>35</v>
      </c>
      <c r="I92" s="19">
        <v>29.4</v>
      </c>
      <c r="J92" s="19" t="s">
        <v>191</v>
      </c>
      <c r="K92" s="19" t="s">
        <v>18</v>
      </c>
      <c r="L92" s="19" t="s">
        <v>227</v>
      </c>
      <c r="M92" s="34">
        <f t="shared" si="9"/>
        <v>36.688941800000002</v>
      </c>
      <c r="N92" s="19" t="s">
        <v>227</v>
      </c>
      <c r="O92" s="34">
        <v>36.750399999999999</v>
      </c>
      <c r="P92" s="34">
        <f t="shared" si="10"/>
        <v>6.1458199999997021E-2</v>
      </c>
      <c r="Q92" s="21">
        <f t="shared" si="11"/>
        <v>36.688941800000002</v>
      </c>
    </row>
    <row r="93" spans="1:17" x14ac:dyDescent="0.25">
      <c r="A93" s="18" t="s">
        <v>229</v>
      </c>
      <c r="B93" s="19" t="s">
        <v>1205</v>
      </c>
      <c r="C93" s="28">
        <f>I93*3%+I93</f>
        <v>156.5188</v>
      </c>
      <c r="D93" s="19" t="s">
        <v>13</v>
      </c>
      <c r="E93" s="19" t="s">
        <v>14</v>
      </c>
      <c r="F93" s="19" t="s">
        <v>33</v>
      </c>
      <c r="G93" s="19" t="s">
        <v>34</v>
      </c>
      <c r="H93" s="19" t="s">
        <v>231</v>
      </c>
      <c r="I93" s="19">
        <v>151.96</v>
      </c>
      <c r="J93" s="19" t="s">
        <v>13</v>
      </c>
      <c r="K93" s="19" t="s">
        <v>18</v>
      </c>
      <c r="L93" s="19" t="s">
        <v>229</v>
      </c>
      <c r="M93" s="34">
        <f t="shared" si="9"/>
        <v>189.96060680799999</v>
      </c>
      <c r="N93" s="19">
        <v>0</v>
      </c>
      <c r="O93" s="34">
        <v>0</v>
      </c>
      <c r="P93" s="34">
        <f t="shared" si="10"/>
        <v>-189.96060680799999</v>
      </c>
      <c r="Q93" s="21">
        <f t="shared" si="11"/>
        <v>189.96060680799999</v>
      </c>
    </row>
    <row r="94" spans="1:17" x14ac:dyDescent="0.25">
      <c r="A94" s="18" t="s">
        <v>232</v>
      </c>
      <c r="B94" s="19" t="s">
        <v>1206</v>
      </c>
      <c r="C94" s="28">
        <f t="shared" ref="C94:C98" si="12">I94*3%+I94</f>
        <v>86.52</v>
      </c>
      <c r="D94" s="19" t="s">
        <v>13</v>
      </c>
      <c r="E94" s="19" t="s">
        <v>23</v>
      </c>
      <c r="F94" s="19" t="s">
        <v>49</v>
      </c>
      <c r="G94" s="19" t="s">
        <v>50</v>
      </c>
      <c r="H94" s="19" t="s">
        <v>50</v>
      </c>
      <c r="I94" s="19">
        <v>84</v>
      </c>
      <c r="J94" s="19" t="s">
        <v>13</v>
      </c>
      <c r="K94" s="19" t="s">
        <v>18</v>
      </c>
      <c r="L94" s="19" t="s">
        <v>232</v>
      </c>
      <c r="M94" s="34">
        <f t="shared" si="9"/>
        <v>105.00586319999999</v>
      </c>
      <c r="N94" s="19">
        <v>0</v>
      </c>
      <c r="O94" s="34">
        <v>0</v>
      </c>
      <c r="P94" s="34">
        <f t="shared" si="10"/>
        <v>-105.00586319999999</v>
      </c>
      <c r="Q94" s="21">
        <f t="shared" si="11"/>
        <v>105.00586319999999</v>
      </c>
    </row>
    <row r="95" spans="1:17" x14ac:dyDescent="0.25">
      <c r="A95" s="18" t="s">
        <v>234</v>
      </c>
      <c r="B95" s="19" t="s">
        <v>1207</v>
      </c>
      <c r="C95" s="28">
        <f t="shared" si="12"/>
        <v>52.900799999999997</v>
      </c>
      <c r="D95" s="19" t="s">
        <v>111</v>
      </c>
      <c r="E95" s="19" t="s">
        <v>14</v>
      </c>
      <c r="F95" s="19" t="s">
        <v>44</v>
      </c>
      <c r="G95" s="19" t="s">
        <v>45</v>
      </c>
      <c r="H95" s="19" t="s">
        <v>46</v>
      </c>
      <c r="I95" s="19">
        <v>51.36</v>
      </c>
      <c r="J95" s="19" t="s">
        <v>111</v>
      </c>
      <c r="K95" s="19" t="s">
        <v>18</v>
      </c>
      <c r="L95" s="19" t="s">
        <v>234</v>
      </c>
      <c r="M95" s="34">
        <f t="shared" si="9"/>
        <v>64.203584927999998</v>
      </c>
      <c r="N95" s="19">
        <v>0</v>
      </c>
      <c r="O95" s="34">
        <v>0</v>
      </c>
      <c r="P95" s="34">
        <f t="shared" si="10"/>
        <v>-64.203584927999998</v>
      </c>
      <c r="Q95" s="21">
        <f t="shared" si="11"/>
        <v>64.203584927999998</v>
      </c>
    </row>
    <row r="96" spans="1:17" x14ac:dyDescent="0.25">
      <c r="A96" s="18" t="s">
        <v>236</v>
      </c>
      <c r="B96" s="19" t="s">
        <v>1208</v>
      </c>
      <c r="C96" s="28">
        <f t="shared" si="12"/>
        <v>1.0815000000000001</v>
      </c>
      <c r="D96" s="19" t="s">
        <v>13</v>
      </c>
      <c r="E96" s="19" t="s">
        <v>14</v>
      </c>
      <c r="F96" s="19" t="s">
        <v>33</v>
      </c>
      <c r="G96" s="19" t="s">
        <v>34</v>
      </c>
      <c r="H96" s="19" t="s">
        <v>76</v>
      </c>
      <c r="I96" s="19">
        <v>1.05</v>
      </c>
      <c r="J96" s="19" t="s">
        <v>13</v>
      </c>
      <c r="K96" s="19" t="s">
        <v>18</v>
      </c>
      <c r="L96" s="19" t="s">
        <v>236</v>
      </c>
      <c r="M96" s="34">
        <f t="shared" si="9"/>
        <v>1.31257329</v>
      </c>
      <c r="N96" s="19" t="s">
        <v>236</v>
      </c>
      <c r="O96" s="34">
        <v>1.3081</v>
      </c>
      <c r="P96" s="34">
        <f t="shared" si="10"/>
        <v>-4.4732899999999631E-3</v>
      </c>
      <c r="Q96" s="21">
        <f t="shared" si="11"/>
        <v>1.31257329</v>
      </c>
    </row>
    <row r="97" spans="1:17" x14ac:dyDescent="0.25">
      <c r="A97" s="18" t="s">
        <v>238</v>
      </c>
      <c r="B97" s="19" t="s">
        <v>1209</v>
      </c>
      <c r="C97" s="28">
        <f t="shared" si="12"/>
        <v>0</v>
      </c>
      <c r="D97" s="19" t="s">
        <v>13</v>
      </c>
      <c r="E97" s="19" t="s">
        <v>14</v>
      </c>
      <c r="F97" s="19" t="s">
        <v>15</v>
      </c>
      <c r="G97" s="19" t="s">
        <v>16</v>
      </c>
      <c r="H97" s="19" t="s">
        <v>17</v>
      </c>
      <c r="I97" s="19"/>
      <c r="J97" s="19" t="s">
        <v>13</v>
      </c>
      <c r="K97" s="19" t="s">
        <v>18</v>
      </c>
      <c r="L97" s="19">
        <v>0</v>
      </c>
      <c r="M97" s="34">
        <f t="shared" si="9"/>
        <v>0</v>
      </c>
      <c r="N97" s="19">
        <v>0</v>
      </c>
      <c r="O97" s="34">
        <v>0</v>
      </c>
      <c r="P97" s="34">
        <f t="shared" si="10"/>
        <v>0</v>
      </c>
      <c r="Q97" s="21">
        <f t="shared" si="11"/>
        <v>0</v>
      </c>
    </row>
    <row r="98" spans="1:17" x14ac:dyDescent="0.25">
      <c r="A98" s="18" t="s">
        <v>240</v>
      </c>
      <c r="B98" s="19" t="s">
        <v>1210</v>
      </c>
      <c r="C98" s="28">
        <f t="shared" si="12"/>
        <v>0</v>
      </c>
      <c r="D98" s="19" t="s">
        <v>242</v>
      </c>
      <c r="E98" s="19" t="s">
        <v>23</v>
      </c>
      <c r="F98" s="19" t="s">
        <v>49</v>
      </c>
      <c r="G98" s="19" t="s">
        <v>50</v>
      </c>
      <c r="H98" s="19" t="s">
        <v>50</v>
      </c>
      <c r="I98" s="19"/>
      <c r="J98" s="19" t="s">
        <v>242</v>
      </c>
      <c r="K98" s="19" t="s">
        <v>18</v>
      </c>
      <c r="L98" s="19">
        <v>0</v>
      </c>
      <c r="M98" s="34">
        <f t="shared" si="9"/>
        <v>0</v>
      </c>
      <c r="N98" s="19">
        <v>0</v>
      </c>
      <c r="O98" s="34">
        <v>0</v>
      </c>
      <c r="P98" s="34">
        <f t="shared" si="10"/>
        <v>0</v>
      </c>
      <c r="Q98" s="21">
        <f t="shared" si="11"/>
        <v>0</v>
      </c>
    </row>
    <row r="99" spans="1:17" x14ac:dyDescent="0.25">
      <c r="A99" s="18">
        <v>64620</v>
      </c>
      <c r="B99" s="19" t="s">
        <v>1211</v>
      </c>
      <c r="C99" s="28">
        <v>32.96</v>
      </c>
      <c r="D99" s="19" t="s">
        <v>32</v>
      </c>
      <c r="E99" s="19" t="s">
        <v>244</v>
      </c>
      <c r="F99" s="19" t="s">
        <v>245</v>
      </c>
      <c r="G99" s="19" t="s">
        <v>246</v>
      </c>
      <c r="H99" s="19" t="s">
        <v>247</v>
      </c>
      <c r="I99" s="19">
        <v>32</v>
      </c>
      <c r="J99" s="19" t="s">
        <v>32</v>
      </c>
      <c r="K99" s="19" t="s">
        <v>18</v>
      </c>
      <c r="L99" s="19">
        <v>64620</v>
      </c>
      <c r="M99" s="20">
        <f t="shared" si="9"/>
        <v>40.002233599999997</v>
      </c>
      <c r="N99" s="19">
        <v>0</v>
      </c>
      <c r="O99" s="20">
        <v>0</v>
      </c>
      <c r="P99" s="20">
        <f t="shared" si="10"/>
        <v>-40.002233599999997</v>
      </c>
      <c r="Q99" s="21">
        <f t="shared" si="11"/>
        <v>40.002233599999997</v>
      </c>
    </row>
    <row r="100" spans="1:17" x14ac:dyDescent="0.25">
      <c r="A100" s="18" t="s">
        <v>248</v>
      </c>
      <c r="B100" s="19" t="s">
        <v>1212</v>
      </c>
      <c r="C100" s="28">
        <f>I100*3%+I100</f>
        <v>189.52</v>
      </c>
      <c r="D100" s="19" t="s">
        <v>191</v>
      </c>
      <c r="E100" s="19" t="s">
        <v>14</v>
      </c>
      <c r="F100" s="19" t="s">
        <v>33</v>
      </c>
      <c r="G100" s="19" t="s">
        <v>34</v>
      </c>
      <c r="H100" s="19" t="s">
        <v>250</v>
      </c>
      <c r="I100" s="19">
        <v>184</v>
      </c>
      <c r="J100" s="19" t="s">
        <v>191</v>
      </c>
      <c r="K100" s="19" t="s">
        <v>18</v>
      </c>
      <c r="L100" s="19" t="s">
        <v>248</v>
      </c>
      <c r="M100" s="34">
        <f t="shared" si="9"/>
        <v>230.01284319999999</v>
      </c>
      <c r="N100" s="19">
        <v>0</v>
      </c>
      <c r="O100" s="34">
        <v>0</v>
      </c>
      <c r="P100" s="34">
        <f t="shared" si="10"/>
        <v>-230.01284319999999</v>
      </c>
      <c r="Q100" s="21">
        <f t="shared" si="11"/>
        <v>230.01284319999999</v>
      </c>
    </row>
    <row r="101" spans="1:17" x14ac:dyDescent="0.25">
      <c r="A101" s="18" t="s">
        <v>251</v>
      </c>
      <c r="B101" s="19" t="s">
        <v>1213</v>
      </c>
      <c r="C101" s="28">
        <f t="shared" ref="C101:C109" si="13">I101*3%+I101</f>
        <v>70.297499999999999</v>
      </c>
      <c r="D101" s="19" t="s">
        <v>13</v>
      </c>
      <c r="E101" s="19" t="s">
        <v>14</v>
      </c>
      <c r="F101" s="19" t="s">
        <v>33</v>
      </c>
      <c r="G101" s="19" t="s">
        <v>34</v>
      </c>
      <c r="H101" s="19" t="s">
        <v>76</v>
      </c>
      <c r="I101" s="19">
        <v>68.25</v>
      </c>
      <c r="J101" s="19" t="s">
        <v>13</v>
      </c>
      <c r="K101" s="19" t="s">
        <v>18</v>
      </c>
      <c r="L101" s="19" t="s">
        <v>251</v>
      </c>
      <c r="M101" s="34">
        <f t="shared" si="9"/>
        <v>85.317263850000003</v>
      </c>
      <c r="N101" s="19" t="s">
        <v>251</v>
      </c>
      <c r="O101" s="34">
        <v>85.314899999999994</v>
      </c>
      <c r="P101" s="34">
        <f t="shared" si="10"/>
        <v>-2.363850000008938E-3</v>
      </c>
      <c r="Q101" s="21">
        <f t="shared" si="11"/>
        <v>85.317263850000003</v>
      </c>
    </row>
    <row r="102" spans="1:17" x14ac:dyDescent="0.25">
      <c r="A102" s="18" t="s">
        <v>253</v>
      </c>
      <c r="B102" s="19" t="s">
        <v>1214</v>
      </c>
      <c r="C102" s="28">
        <f t="shared" si="13"/>
        <v>8.8580000000000005</v>
      </c>
      <c r="D102" s="19" t="s">
        <v>124</v>
      </c>
      <c r="E102" s="19" t="s">
        <v>14</v>
      </c>
      <c r="F102" s="19" t="s">
        <v>15</v>
      </c>
      <c r="G102" s="19" t="s">
        <v>16</v>
      </c>
      <c r="H102" s="19" t="s">
        <v>17</v>
      </c>
      <c r="I102" s="19">
        <v>8.6</v>
      </c>
      <c r="J102" s="19" t="s">
        <v>124</v>
      </c>
      <c r="K102" s="19" t="s">
        <v>18</v>
      </c>
      <c r="L102" s="19" t="s">
        <v>253</v>
      </c>
      <c r="M102" s="34">
        <f t="shared" si="9"/>
        <v>10.75060028</v>
      </c>
      <c r="N102" s="19">
        <v>0</v>
      </c>
      <c r="O102" s="34">
        <v>0</v>
      </c>
      <c r="P102" s="34">
        <f t="shared" si="10"/>
        <v>-10.75060028</v>
      </c>
      <c r="Q102" s="21">
        <f t="shared" si="11"/>
        <v>10.75060028</v>
      </c>
    </row>
    <row r="103" spans="1:17" x14ac:dyDescent="0.25">
      <c r="A103" s="18" t="s">
        <v>255</v>
      </c>
      <c r="B103" s="19" t="s">
        <v>1215</v>
      </c>
      <c r="C103" s="28">
        <f t="shared" si="13"/>
        <v>8.8580000000000005</v>
      </c>
      <c r="D103" s="19" t="s">
        <v>124</v>
      </c>
      <c r="E103" s="19" t="s">
        <v>14</v>
      </c>
      <c r="F103" s="19" t="s">
        <v>15</v>
      </c>
      <c r="G103" s="19" t="s">
        <v>16</v>
      </c>
      <c r="H103" s="19" t="s">
        <v>17</v>
      </c>
      <c r="I103" s="19">
        <v>8.6</v>
      </c>
      <c r="J103" s="19" t="s">
        <v>124</v>
      </c>
      <c r="K103" s="19" t="s">
        <v>18</v>
      </c>
      <c r="L103" s="19" t="s">
        <v>255</v>
      </c>
      <c r="M103" s="34">
        <f t="shared" si="9"/>
        <v>10.75060028</v>
      </c>
      <c r="N103" s="19">
        <v>0</v>
      </c>
      <c r="O103" s="34">
        <v>0</v>
      </c>
      <c r="P103" s="34">
        <f t="shared" si="10"/>
        <v>-10.75060028</v>
      </c>
      <c r="Q103" s="21">
        <f t="shared" si="11"/>
        <v>10.75060028</v>
      </c>
    </row>
    <row r="104" spans="1:17" x14ac:dyDescent="0.25">
      <c r="A104" s="18" t="s">
        <v>257</v>
      </c>
      <c r="B104" s="19" t="s">
        <v>1216</v>
      </c>
      <c r="C104" s="28">
        <f t="shared" si="13"/>
        <v>35.534999999999997</v>
      </c>
      <c r="D104" s="19" t="s">
        <v>111</v>
      </c>
      <c r="E104" s="19" t="s">
        <v>14</v>
      </c>
      <c r="F104" s="19" t="s">
        <v>15</v>
      </c>
      <c r="G104" s="19" t="s">
        <v>16</v>
      </c>
      <c r="H104" s="19" t="s">
        <v>17</v>
      </c>
      <c r="I104" s="19">
        <v>34.5</v>
      </c>
      <c r="J104" s="19" t="s">
        <v>111</v>
      </c>
      <c r="K104" s="19" t="s">
        <v>18</v>
      </c>
      <c r="L104" s="19" t="s">
        <v>257</v>
      </c>
      <c r="M104" s="34">
        <f t="shared" si="9"/>
        <v>43.127408099999997</v>
      </c>
      <c r="N104" s="19">
        <v>0</v>
      </c>
      <c r="O104" s="34">
        <v>0</v>
      </c>
      <c r="P104" s="34">
        <f t="shared" si="10"/>
        <v>-43.127408099999997</v>
      </c>
      <c r="Q104" s="21">
        <f t="shared" si="11"/>
        <v>43.127408099999997</v>
      </c>
    </row>
    <row r="105" spans="1:17" x14ac:dyDescent="0.25">
      <c r="A105" s="18" t="s">
        <v>259</v>
      </c>
      <c r="B105" s="19" t="s">
        <v>1217</v>
      </c>
      <c r="C105" s="28">
        <f t="shared" si="13"/>
        <v>45.113999999999997</v>
      </c>
      <c r="D105" s="19" t="s">
        <v>111</v>
      </c>
      <c r="E105" s="19" t="s">
        <v>14</v>
      </c>
      <c r="F105" s="19" t="s">
        <v>15</v>
      </c>
      <c r="G105" s="19" t="s">
        <v>16</v>
      </c>
      <c r="H105" s="19" t="s">
        <v>17</v>
      </c>
      <c r="I105" s="19">
        <v>43.8</v>
      </c>
      <c r="J105" s="19" t="s">
        <v>111</v>
      </c>
      <c r="K105" s="19" t="s">
        <v>18</v>
      </c>
      <c r="L105" s="19" t="s">
        <v>259</v>
      </c>
      <c r="M105" s="34">
        <f t="shared" si="9"/>
        <v>54.753057239999997</v>
      </c>
      <c r="N105" s="19">
        <v>0</v>
      </c>
      <c r="O105" s="34">
        <v>0</v>
      </c>
      <c r="P105" s="34">
        <f t="shared" si="10"/>
        <v>-54.753057239999997</v>
      </c>
      <c r="Q105" s="21">
        <f t="shared" si="11"/>
        <v>54.753057239999997</v>
      </c>
    </row>
    <row r="106" spans="1:17" x14ac:dyDescent="0.25">
      <c r="A106" s="18" t="s">
        <v>261</v>
      </c>
      <c r="B106" s="19" t="s">
        <v>1218</v>
      </c>
      <c r="C106" s="28">
        <f t="shared" si="13"/>
        <v>155.2004</v>
      </c>
      <c r="D106" s="19" t="s">
        <v>242</v>
      </c>
      <c r="E106" s="19" t="s">
        <v>14</v>
      </c>
      <c r="F106" s="19" t="s">
        <v>15</v>
      </c>
      <c r="G106" s="19" t="s">
        <v>16</v>
      </c>
      <c r="H106" s="19" t="s">
        <v>17</v>
      </c>
      <c r="I106" s="19">
        <v>150.68</v>
      </c>
      <c r="J106" s="19" t="s">
        <v>242</v>
      </c>
      <c r="K106" s="19" t="s">
        <v>18</v>
      </c>
      <c r="L106" s="19" t="s">
        <v>261</v>
      </c>
      <c r="M106" s="34">
        <f t="shared" si="9"/>
        <v>188.360517464</v>
      </c>
      <c r="N106" s="19" t="s">
        <v>261</v>
      </c>
      <c r="O106" s="34">
        <v>188.3561</v>
      </c>
      <c r="P106" s="34">
        <f t="shared" si="10"/>
        <v>-4.417463999999427E-3</v>
      </c>
      <c r="Q106" s="21">
        <f t="shared" si="11"/>
        <v>188.360517464</v>
      </c>
    </row>
    <row r="107" spans="1:17" x14ac:dyDescent="0.25">
      <c r="A107" s="18" t="s">
        <v>263</v>
      </c>
      <c r="B107" s="19" t="s">
        <v>1219</v>
      </c>
      <c r="C107" s="28">
        <f t="shared" si="13"/>
        <v>180.25</v>
      </c>
      <c r="D107" s="19" t="s">
        <v>111</v>
      </c>
      <c r="E107" s="19" t="s">
        <v>14</v>
      </c>
      <c r="F107" s="19" t="s">
        <v>33</v>
      </c>
      <c r="G107" s="19" t="s">
        <v>34</v>
      </c>
      <c r="H107" s="19" t="s">
        <v>265</v>
      </c>
      <c r="I107" s="19">
        <v>175</v>
      </c>
      <c r="J107" s="19" t="s">
        <v>111</v>
      </c>
      <c r="K107" s="19" t="s">
        <v>18</v>
      </c>
      <c r="L107" s="19" t="s">
        <v>263</v>
      </c>
      <c r="M107" s="34">
        <f t="shared" si="9"/>
        <v>218.762215</v>
      </c>
      <c r="N107" s="19" t="s">
        <v>263</v>
      </c>
      <c r="O107" s="34">
        <v>30.9</v>
      </c>
      <c r="P107" s="34">
        <f t="shared" si="10"/>
        <v>-187.86221499999999</v>
      </c>
      <c r="Q107" s="21">
        <f t="shared" si="11"/>
        <v>218.762215</v>
      </c>
    </row>
    <row r="108" spans="1:17" x14ac:dyDescent="0.25">
      <c r="A108" s="18" t="s">
        <v>266</v>
      </c>
      <c r="B108" s="19" t="s">
        <v>1220</v>
      </c>
      <c r="C108" s="28">
        <f t="shared" si="13"/>
        <v>9.7850000000000001</v>
      </c>
      <c r="D108" s="19" t="s">
        <v>124</v>
      </c>
      <c r="E108" s="19" t="s">
        <v>14</v>
      </c>
      <c r="F108" s="19" t="s">
        <v>15</v>
      </c>
      <c r="G108" s="19" t="s">
        <v>16</v>
      </c>
      <c r="H108" s="19" t="s">
        <v>17</v>
      </c>
      <c r="I108" s="19">
        <v>9.5</v>
      </c>
      <c r="J108" s="19" t="s">
        <v>124</v>
      </c>
      <c r="K108" s="19" t="s">
        <v>18</v>
      </c>
      <c r="L108" s="19" t="s">
        <v>266</v>
      </c>
      <c r="M108" s="34">
        <f t="shared" si="9"/>
        <v>11.875663100000001</v>
      </c>
      <c r="N108" s="19" t="s">
        <v>266</v>
      </c>
      <c r="O108" s="34">
        <v>9.7850000000000001</v>
      </c>
      <c r="P108" s="34">
        <f t="shared" si="10"/>
        <v>-2.0906631000000004</v>
      </c>
      <c r="Q108" s="21">
        <f t="shared" si="11"/>
        <v>11.875663100000001</v>
      </c>
    </row>
    <row r="109" spans="1:17" x14ac:dyDescent="0.25">
      <c r="A109" s="18" t="s">
        <v>268</v>
      </c>
      <c r="B109" s="19" t="s">
        <v>269</v>
      </c>
      <c r="C109" s="28">
        <f t="shared" si="13"/>
        <v>61.840807570000003</v>
      </c>
      <c r="D109" s="19" t="s">
        <v>242</v>
      </c>
      <c r="E109" s="19" t="s">
        <v>14</v>
      </c>
      <c r="F109" s="19" t="s">
        <v>33</v>
      </c>
      <c r="G109" s="19" t="s">
        <v>34</v>
      </c>
      <c r="H109" s="19" t="s">
        <v>270</v>
      </c>
      <c r="I109" s="19">
        <v>60.039619000000002</v>
      </c>
      <c r="J109" s="19" t="s">
        <v>13</v>
      </c>
      <c r="K109" s="19" t="s">
        <v>18</v>
      </c>
      <c r="L109" s="19">
        <v>0</v>
      </c>
      <c r="M109" s="34">
        <f t="shared" si="9"/>
        <v>75.053714515406199</v>
      </c>
      <c r="N109" s="19">
        <v>0</v>
      </c>
      <c r="O109" s="34">
        <v>0</v>
      </c>
      <c r="P109" s="34">
        <f t="shared" si="10"/>
        <v>-75.053714515406199</v>
      </c>
      <c r="Q109" s="21">
        <f t="shared" si="11"/>
        <v>75.053714515406199</v>
      </c>
    </row>
    <row r="110" spans="1:17" x14ac:dyDescent="0.25">
      <c r="A110" s="18" t="s">
        <v>271</v>
      </c>
      <c r="B110" s="19" t="s">
        <v>1221</v>
      </c>
      <c r="C110" s="28">
        <v>92</v>
      </c>
      <c r="D110" s="19" t="s">
        <v>13</v>
      </c>
      <c r="E110" s="19" t="s">
        <v>14</v>
      </c>
      <c r="F110" s="19" t="s">
        <v>33</v>
      </c>
      <c r="G110" s="19" t="s">
        <v>34</v>
      </c>
      <c r="H110" s="19" t="s">
        <v>115</v>
      </c>
      <c r="I110" s="19">
        <v>84</v>
      </c>
      <c r="J110" s="19" t="s">
        <v>13</v>
      </c>
      <c r="K110" s="19" t="s">
        <v>18</v>
      </c>
      <c r="L110" s="19" t="s">
        <v>271</v>
      </c>
      <c r="M110" s="34">
        <f t="shared" si="9"/>
        <v>111.65671999999999</v>
      </c>
      <c r="N110" s="19">
        <v>0</v>
      </c>
      <c r="O110" s="34">
        <v>0</v>
      </c>
      <c r="P110" s="34">
        <f t="shared" si="10"/>
        <v>-111.65671999999999</v>
      </c>
      <c r="Q110" s="21">
        <f t="shared" si="11"/>
        <v>111.65671999999999</v>
      </c>
    </row>
    <row r="111" spans="1:17" x14ac:dyDescent="0.25">
      <c r="A111" s="18" t="s">
        <v>273</v>
      </c>
      <c r="B111" s="19" t="s">
        <v>1222</v>
      </c>
      <c r="C111" s="28">
        <v>129.78</v>
      </c>
      <c r="D111" s="19" t="s">
        <v>13</v>
      </c>
      <c r="E111" s="19" t="s">
        <v>14</v>
      </c>
      <c r="F111" s="19" t="s">
        <v>33</v>
      </c>
      <c r="G111" s="19" t="s">
        <v>34</v>
      </c>
      <c r="H111" s="19" t="s">
        <v>115</v>
      </c>
      <c r="I111" s="19">
        <v>126</v>
      </c>
      <c r="J111" s="19" t="s">
        <v>13</v>
      </c>
      <c r="K111" s="19" t="s">
        <v>18</v>
      </c>
      <c r="L111" s="19" t="s">
        <v>273</v>
      </c>
      <c r="M111" s="34">
        <f t="shared" si="9"/>
        <v>157.5087948</v>
      </c>
      <c r="N111" s="19">
        <v>0</v>
      </c>
      <c r="O111" s="34">
        <v>0</v>
      </c>
      <c r="P111" s="34">
        <f t="shared" si="10"/>
        <v>-157.5087948</v>
      </c>
      <c r="Q111" s="21">
        <f t="shared" si="11"/>
        <v>157.5087948</v>
      </c>
    </row>
    <row r="112" spans="1:17" x14ac:dyDescent="0.25">
      <c r="A112" s="18" t="s">
        <v>275</v>
      </c>
      <c r="B112" s="19" t="s">
        <v>1223</v>
      </c>
      <c r="C112" s="28">
        <v>1604</v>
      </c>
      <c r="D112" s="19" t="s">
        <v>13</v>
      </c>
      <c r="E112" s="19" t="s">
        <v>14</v>
      </c>
      <c r="F112" s="19" t="s">
        <v>33</v>
      </c>
      <c r="G112" s="19" t="s">
        <v>34</v>
      </c>
      <c r="H112" s="19" t="s">
        <v>115</v>
      </c>
      <c r="I112" s="19">
        <v>1620.94</v>
      </c>
      <c r="J112" s="19" t="s">
        <v>13</v>
      </c>
      <c r="K112" s="19" t="s">
        <v>18</v>
      </c>
      <c r="L112" s="19" t="s">
        <v>275</v>
      </c>
      <c r="M112" s="34">
        <f t="shared" si="9"/>
        <v>1946.71064</v>
      </c>
      <c r="N112" s="19">
        <v>0</v>
      </c>
      <c r="O112" s="34">
        <v>0</v>
      </c>
      <c r="P112" s="34">
        <f t="shared" si="10"/>
        <v>-1946.71064</v>
      </c>
      <c r="Q112" s="21">
        <f t="shared" si="11"/>
        <v>1946.71064</v>
      </c>
    </row>
    <row r="113" spans="1:17" x14ac:dyDescent="0.25">
      <c r="A113" s="18" t="s">
        <v>277</v>
      </c>
      <c r="B113" s="19" t="s">
        <v>1224</v>
      </c>
      <c r="C113" s="28">
        <v>60</v>
      </c>
      <c r="D113" s="19" t="s">
        <v>242</v>
      </c>
      <c r="E113" s="19" t="s">
        <v>14</v>
      </c>
      <c r="F113" s="19" t="s">
        <v>33</v>
      </c>
      <c r="G113" s="19" t="s">
        <v>34</v>
      </c>
      <c r="H113" s="19" t="s">
        <v>35</v>
      </c>
      <c r="I113" s="19">
        <v>93.45</v>
      </c>
      <c r="J113" s="19" t="s">
        <v>242</v>
      </c>
      <c r="K113" s="19" t="s">
        <v>18</v>
      </c>
      <c r="L113" s="19" t="s">
        <v>277</v>
      </c>
      <c r="M113" s="34">
        <f t="shared" si="9"/>
        <v>72.819599999999994</v>
      </c>
      <c r="N113" s="19">
        <v>0</v>
      </c>
      <c r="O113" s="34">
        <v>0</v>
      </c>
      <c r="P113" s="34">
        <f t="shared" si="10"/>
        <v>-72.819599999999994</v>
      </c>
      <c r="Q113" s="21">
        <f t="shared" si="11"/>
        <v>72.819599999999994</v>
      </c>
    </row>
    <row r="114" spans="1:17" x14ac:dyDescent="0.25">
      <c r="A114" s="18" t="s">
        <v>279</v>
      </c>
      <c r="B114" s="19" t="s">
        <v>1225</v>
      </c>
      <c r="C114" s="28">
        <f>I114*3%+I114</f>
        <v>75.704999999999998</v>
      </c>
      <c r="D114" s="19" t="s">
        <v>111</v>
      </c>
      <c r="E114" s="19" t="s">
        <v>14</v>
      </c>
      <c r="F114" s="19" t="s">
        <v>131</v>
      </c>
      <c r="G114" s="19" t="s">
        <v>132</v>
      </c>
      <c r="H114" s="19" t="s">
        <v>133</v>
      </c>
      <c r="I114" s="19">
        <v>73.5</v>
      </c>
      <c r="J114" s="19" t="s">
        <v>111</v>
      </c>
      <c r="K114" s="19" t="s">
        <v>18</v>
      </c>
      <c r="L114" s="19" t="s">
        <v>279</v>
      </c>
      <c r="M114" s="34">
        <f t="shared" si="9"/>
        <v>91.88013029999999</v>
      </c>
      <c r="N114" s="19" t="s">
        <v>279</v>
      </c>
      <c r="O114" s="34">
        <v>91.876000000000005</v>
      </c>
      <c r="P114" s="34">
        <f t="shared" si="10"/>
        <v>-4.1302999999857093E-3</v>
      </c>
      <c r="Q114" s="21">
        <f t="shared" si="11"/>
        <v>91.88013029999999</v>
      </c>
    </row>
    <row r="115" spans="1:17" x14ac:dyDescent="0.25">
      <c r="A115" s="18">
        <v>1129085</v>
      </c>
      <c r="B115" s="19" t="s">
        <v>1226</v>
      </c>
      <c r="C115" s="28">
        <f t="shared" ref="C115:C134" si="14">I115*3%+I115</f>
        <v>0</v>
      </c>
      <c r="D115" s="19" t="s">
        <v>282</v>
      </c>
      <c r="E115" s="19"/>
      <c r="F115" s="19" t="s">
        <v>131</v>
      </c>
      <c r="G115" s="19" t="s">
        <v>132</v>
      </c>
      <c r="H115" s="19" t="s">
        <v>133</v>
      </c>
      <c r="I115" s="19"/>
      <c r="J115" s="19" t="s">
        <v>283</v>
      </c>
      <c r="K115" s="19" t="s">
        <v>18</v>
      </c>
      <c r="L115" s="19">
        <v>0</v>
      </c>
      <c r="M115" s="34">
        <f t="shared" si="9"/>
        <v>0</v>
      </c>
      <c r="N115" s="19">
        <v>0</v>
      </c>
      <c r="O115" s="34">
        <v>0</v>
      </c>
      <c r="P115" s="34">
        <f t="shared" si="10"/>
        <v>0</v>
      </c>
      <c r="Q115" s="21">
        <f t="shared" si="11"/>
        <v>0</v>
      </c>
    </row>
    <row r="116" spans="1:17" x14ac:dyDescent="0.25">
      <c r="A116" s="18" t="s">
        <v>284</v>
      </c>
      <c r="B116" s="19" t="s">
        <v>1227</v>
      </c>
      <c r="C116" s="28">
        <f t="shared" si="14"/>
        <v>120.02590000000001</v>
      </c>
      <c r="D116" s="19" t="s">
        <v>111</v>
      </c>
      <c r="E116" s="19" t="s">
        <v>14</v>
      </c>
      <c r="F116" s="19" t="s">
        <v>131</v>
      </c>
      <c r="G116" s="19" t="s">
        <v>132</v>
      </c>
      <c r="H116" s="19" t="s">
        <v>133</v>
      </c>
      <c r="I116" s="19">
        <v>116.53</v>
      </c>
      <c r="J116" s="19" t="s">
        <v>111</v>
      </c>
      <c r="K116" s="19" t="s">
        <v>18</v>
      </c>
      <c r="L116" s="19" t="s">
        <v>284</v>
      </c>
      <c r="M116" s="34">
        <f t="shared" si="9"/>
        <v>145.670633794</v>
      </c>
      <c r="N116" s="19">
        <v>0</v>
      </c>
      <c r="O116" s="34">
        <v>0</v>
      </c>
      <c r="P116" s="34">
        <f t="shared" si="10"/>
        <v>-145.670633794</v>
      </c>
      <c r="Q116" s="21">
        <f t="shared" si="11"/>
        <v>145.670633794</v>
      </c>
    </row>
    <row r="117" spans="1:17" x14ac:dyDescent="0.25">
      <c r="A117" s="18" t="s">
        <v>286</v>
      </c>
      <c r="B117" s="19" t="s">
        <v>1228</v>
      </c>
      <c r="C117" s="28">
        <f t="shared" si="14"/>
        <v>279.90249999999997</v>
      </c>
      <c r="D117" s="19" t="s">
        <v>111</v>
      </c>
      <c r="E117" s="19" t="s">
        <v>14</v>
      </c>
      <c r="F117" s="19" t="s">
        <v>131</v>
      </c>
      <c r="G117" s="19" t="s">
        <v>132</v>
      </c>
      <c r="H117" s="19" t="s">
        <v>133</v>
      </c>
      <c r="I117" s="19">
        <v>271.75</v>
      </c>
      <c r="J117" s="19" t="s">
        <v>111</v>
      </c>
      <c r="K117" s="19" t="s">
        <v>18</v>
      </c>
      <c r="L117" s="19" t="s">
        <v>286</v>
      </c>
      <c r="M117" s="34">
        <f t="shared" si="9"/>
        <v>339.70646814999998</v>
      </c>
      <c r="N117" s="19" t="s">
        <v>286</v>
      </c>
      <c r="O117" s="34">
        <v>242.46199999999999</v>
      </c>
      <c r="P117" s="34">
        <f t="shared" si="10"/>
        <v>-97.244468149999989</v>
      </c>
      <c r="Q117" s="21">
        <f t="shared" si="11"/>
        <v>339.70646814999998</v>
      </c>
    </row>
    <row r="118" spans="1:17" x14ac:dyDescent="0.25">
      <c r="A118" s="18" t="s">
        <v>288</v>
      </c>
      <c r="B118" s="19" t="s">
        <v>1229</v>
      </c>
      <c r="C118" s="28">
        <f t="shared" si="14"/>
        <v>0</v>
      </c>
      <c r="D118" s="19" t="s">
        <v>13</v>
      </c>
      <c r="E118" s="19" t="s">
        <v>23</v>
      </c>
      <c r="F118" s="19" t="s">
        <v>49</v>
      </c>
      <c r="G118" s="19" t="s">
        <v>50</v>
      </c>
      <c r="H118" s="19" t="s">
        <v>50</v>
      </c>
      <c r="I118" s="19"/>
      <c r="J118" s="19" t="s">
        <v>13</v>
      </c>
      <c r="K118" s="19" t="s">
        <v>18</v>
      </c>
      <c r="L118" s="19">
        <v>0</v>
      </c>
      <c r="M118" s="34">
        <f t="shared" si="9"/>
        <v>0</v>
      </c>
      <c r="N118" s="19">
        <v>0</v>
      </c>
      <c r="O118" s="34">
        <v>0</v>
      </c>
      <c r="P118" s="34">
        <f t="shared" si="10"/>
        <v>0</v>
      </c>
      <c r="Q118" s="21">
        <f t="shared" si="11"/>
        <v>0</v>
      </c>
    </row>
    <row r="119" spans="1:17" x14ac:dyDescent="0.25">
      <c r="A119" s="18" t="s">
        <v>290</v>
      </c>
      <c r="B119" s="19" t="s">
        <v>1230</v>
      </c>
      <c r="C119" s="28">
        <f t="shared" si="14"/>
        <v>0</v>
      </c>
      <c r="D119" s="19" t="s">
        <v>13</v>
      </c>
      <c r="E119" s="19" t="s">
        <v>23</v>
      </c>
      <c r="F119" s="19" t="s">
        <v>49</v>
      </c>
      <c r="G119" s="19" t="s">
        <v>50</v>
      </c>
      <c r="H119" s="19" t="s">
        <v>50</v>
      </c>
      <c r="I119" s="19"/>
      <c r="J119" s="19" t="s">
        <v>13</v>
      </c>
      <c r="K119" s="19" t="s">
        <v>18</v>
      </c>
      <c r="L119" s="19">
        <v>0</v>
      </c>
      <c r="M119" s="34">
        <f t="shared" si="9"/>
        <v>0</v>
      </c>
      <c r="N119" s="19">
        <v>0</v>
      </c>
      <c r="O119" s="34">
        <v>0</v>
      </c>
      <c r="P119" s="34">
        <f t="shared" si="10"/>
        <v>0</v>
      </c>
      <c r="Q119" s="21">
        <f t="shared" si="11"/>
        <v>0</v>
      </c>
    </row>
    <row r="120" spans="1:17" x14ac:dyDescent="0.25">
      <c r="A120" s="18" t="s">
        <v>292</v>
      </c>
      <c r="B120" s="19" t="s">
        <v>1231</v>
      </c>
      <c r="C120" s="28">
        <f t="shared" si="14"/>
        <v>0</v>
      </c>
      <c r="D120" s="19" t="s">
        <v>13</v>
      </c>
      <c r="E120" s="19" t="s">
        <v>23</v>
      </c>
      <c r="F120" s="19" t="s">
        <v>49</v>
      </c>
      <c r="G120" s="19" t="s">
        <v>50</v>
      </c>
      <c r="H120" s="19" t="s">
        <v>50</v>
      </c>
      <c r="I120" s="19"/>
      <c r="J120" s="19" t="s">
        <v>13</v>
      </c>
      <c r="K120" s="19" t="s">
        <v>18</v>
      </c>
      <c r="L120" s="19">
        <v>0</v>
      </c>
      <c r="M120" s="34">
        <f t="shared" si="9"/>
        <v>0</v>
      </c>
      <c r="N120" s="19">
        <v>0</v>
      </c>
      <c r="O120" s="34">
        <v>0</v>
      </c>
      <c r="P120" s="34">
        <f t="shared" si="10"/>
        <v>0</v>
      </c>
      <c r="Q120" s="21">
        <f t="shared" si="11"/>
        <v>0</v>
      </c>
    </row>
    <row r="121" spans="1:17" x14ac:dyDescent="0.25">
      <c r="A121" s="18" t="s">
        <v>294</v>
      </c>
      <c r="B121" s="19" t="s">
        <v>1232</v>
      </c>
      <c r="C121" s="28">
        <f t="shared" si="14"/>
        <v>0</v>
      </c>
      <c r="D121" s="19" t="s">
        <v>13</v>
      </c>
      <c r="E121" s="19" t="s">
        <v>23</v>
      </c>
      <c r="F121" s="19" t="s">
        <v>49</v>
      </c>
      <c r="G121" s="19" t="s">
        <v>50</v>
      </c>
      <c r="H121" s="19" t="s">
        <v>50</v>
      </c>
      <c r="I121" s="19"/>
      <c r="J121" s="19" t="s">
        <v>13</v>
      </c>
      <c r="K121" s="19" t="s">
        <v>18</v>
      </c>
      <c r="L121" s="19">
        <v>0</v>
      </c>
      <c r="M121" s="34">
        <f t="shared" si="9"/>
        <v>0</v>
      </c>
      <c r="N121" s="19">
        <v>0</v>
      </c>
      <c r="O121" s="34">
        <v>0</v>
      </c>
      <c r="P121" s="34">
        <f t="shared" si="10"/>
        <v>0</v>
      </c>
      <c r="Q121" s="21">
        <f t="shared" si="11"/>
        <v>0</v>
      </c>
    </row>
    <row r="122" spans="1:17" x14ac:dyDescent="0.25">
      <c r="A122" s="18" t="s">
        <v>296</v>
      </c>
      <c r="B122" s="19" t="s">
        <v>1233</v>
      </c>
      <c r="C122" s="28">
        <f t="shared" si="14"/>
        <v>0</v>
      </c>
      <c r="D122" s="19" t="s">
        <v>13</v>
      </c>
      <c r="E122" s="19" t="s">
        <v>14</v>
      </c>
      <c r="F122" s="19" t="s">
        <v>15</v>
      </c>
      <c r="G122" s="19" t="s">
        <v>16</v>
      </c>
      <c r="H122" s="19" t="s">
        <v>17</v>
      </c>
      <c r="I122" s="19"/>
      <c r="J122" s="19" t="s">
        <v>13</v>
      </c>
      <c r="K122" s="19" t="s">
        <v>18</v>
      </c>
      <c r="L122" s="19">
        <v>0</v>
      </c>
      <c r="M122" s="34">
        <f t="shared" si="9"/>
        <v>0</v>
      </c>
      <c r="N122" s="19">
        <v>0</v>
      </c>
      <c r="O122" s="34">
        <v>0</v>
      </c>
      <c r="P122" s="34">
        <f t="shared" si="10"/>
        <v>0</v>
      </c>
      <c r="Q122" s="21">
        <f t="shared" si="11"/>
        <v>0</v>
      </c>
    </row>
    <row r="123" spans="1:17" x14ac:dyDescent="0.25">
      <c r="A123" s="18" t="s">
        <v>298</v>
      </c>
      <c r="B123" s="19" t="s">
        <v>1234</v>
      </c>
      <c r="C123" s="28">
        <f t="shared" si="14"/>
        <v>0</v>
      </c>
      <c r="D123" s="19" t="s">
        <v>13</v>
      </c>
      <c r="E123" s="19" t="s">
        <v>23</v>
      </c>
      <c r="F123" s="19" t="s">
        <v>49</v>
      </c>
      <c r="G123" s="19" t="s">
        <v>50</v>
      </c>
      <c r="H123" s="19" t="s">
        <v>50</v>
      </c>
      <c r="I123" s="19"/>
      <c r="J123" s="19" t="s">
        <v>13</v>
      </c>
      <c r="K123" s="19" t="s">
        <v>18</v>
      </c>
      <c r="L123" s="19">
        <v>0</v>
      </c>
      <c r="M123" s="34">
        <f t="shared" si="9"/>
        <v>0</v>
      </c>
      <c r="N123" s="19">
        <v>0</v>
      </c>
      <c r="O123" s="34">
        <v>0</v>
      </c>
      <c r="P123" s="34">
        <f t="shared" si="10"/>
        <v>0</v>
      </c>
      <c r="Q123" s="21">
        <f t="shared" si="11"/>
        <v>0</v>
      </c>
    </row>
    <row r="124" spans="1:17" x14ac:dyDescent="0.25">
      <c r="A124" s="18" t="s">
        <v>300</v>
      </c>
      <c r="B124" s="19" t="s">
        <v>1235</v>
      </c>
      <c r="C124" s="28">
        <f t="shared" si="14"/>
        <v>34.608000000000004</v>
      </c>
      <c r="D124" s="19" t="s">
        <v>13</v>
      </c>
      <c r="E124" s="19" t="s">
        <v>14</v>
      </c>
      <c r="F124" s="19" t="s">
        <v>33</v>
      </c>
      <c r="G124" s="19" t="s">
        <v>34</v>
      </c>
      <c r="H124" s="19" t="s">
        <v>76</v>
      </c>
      <c r="I124" s="19">
        <v>33.6</v>
      </c>
      <c r="J124" s="19" t="s">
        <v>13</v>
      </c>
      <c r="K124" s="19" t="s">
        <v>18</v>
      </c>
      <c r="L124" s="19" t="s">
        <v>300</v>
      </c>
      <c r="M124" s="34">
        <f t="shared" si="9"/>
        <v>42.00234528</v>
      </c>
      <c r="N124" s="19">
        <v>0</v>
      </c>
      <c r="O124" s="34">
        <v>0</v>
      </c>
      <c r="P124" s="34">
        <f t="shared" si="10"/>
        <v>-42.00234528</v>
      </c>
      <c r="Q124" s="21">
        <f t="shared" si="11"/>
        <v>42.00234528</v>
      </c>
    </row>
    <row r="125" spans="1:17" x14ac:dyDescent="0.25">
      <c r="A125" s="18" t="s">
        <v>302</v>
      </c>
      <c r="B125" s="19" t="s">
        <v>1236</v>
      </c>
      <c r="C125" s="28">
        <f t="shared" si="14"/>
        <v>0</v>
      </c>
      <c r="D125" s="19" t="s">
        <v>13</v>
      </c>
      <c r="E125" s="19" t="s">
        <v>23</v>
      </c>
      <c r="F125" s="19" t="s">
        <v>49</v>
      </c>
      <c r="G125" s="19" t="s">
        <v>50</v>
      </c>
      <c r="H125" s="19" t="s">
        <v>50</v>
      </c>
      <c r="I125" s="19"/>
      <c r="J125" s="19" t="s">
        <v>13</v>
      </c>
      <c r="K125" s="19" t="s">
        <v>18</v>
      </c>
      <c r="L125" s="19">
        <v>0</v>
      </c>
      <c r="M125" s="34">
        <f t="shared" si="9"/>
        <v>0</v>
      </c>
      <c r="N125" s="19">
        <v>0</v>
      </c>
      <c r="O125" s="34">
        <v>0</v>
      </c>
      <c r="P125" s="34">
        <f t="shared" si="10"/>
        <v>0</v>
      </c>
      <c r="Q125" s="21">
        <f t="shared" si="11"/>
        <v>0</v>
      </c>
    </row>
    <row r="126" spans="1:17" x14ac:dyDescent="0.25">
      <c r="A126" s="18" t="s">
        <v>304</v>
      </c>
      <c r="B126" s="19" t="s">
        <v>1237</v>
      </c>
      <c r="C126" s="28">
        <f t="shared" si="14"/>
        <v>0.86519999999999997</v>
      </c>
      <c r="D126" s="19" t="s">
        <v>13</v>
      </c>
      <c r="E126" s="19" t="s">
        <v>14</v>
      </c>
      <c r="F126" s="19" t="s">
        <v>33</v>
      </c>
      <c r="G126" s="19" t="s">
        <v>34</v>
      </c>
      <c r="H126" s="19" t="s">
        <v>76</v>
      </c>
      <c r="I126" s="19">
        <v>0.84</v>
      </c>
      <c r="J126" s="19" t="s">
        <v>13</v>
      </c>
      <c r="K126" s="19" t="s">
        <v>18</v>
      </c>
      <c r="L126" s="19" t="s">
        <v>304</v>
      </c>
      <c r="M126" s="34">
        <f t="shared" si="9"/>
        <v>1.0500586319999998</v>
      </c>
      <c r="N126" s="19">
        <v>0</v>
      </c>
      <c r="O126" s="34">
        <v>0</v>
      </c>
      <c r="P126" s="34">
        <f t="shared" si="10"/>
        <v>-1.0500586319999998</v>
      </c>
      <c r="Q126" s="21">
        <f t="shared" si="11"/>
        <v>1.0500586319999998</v>
      </c>
    </row>
    <row r="127" spans="1:17" x14ac:dyDescent="0.25">
      <c r="A127" s="18" t="s">
        <v>306</v>
      </c>
      <c r="B127" s="19" t="s">
        <v>1238</v>
      </c>
      <c r="C127" s="28">
        <f t="shared" si="14"/>
        <v>56.238</v>
      </c>
      <c r="D127" s="19" t="s">
        <v>13</v>
      </c>
      <c r="E127" s="19" t="s">
        <v>14</v>
      </c>
      <c r="F127" s="19" t="s">
        <v>33</v>
      </c>
      <c r="G127" s="19" t="s">
        <v>34</v>
      </c>
      <c r="H127" s="19" t="s">
        <v>76</v>
      </c>
      <c r="I127" s="19">
        <v>54.6</v>
      </c>
      <c r="J127" s="19" t="s">
        <v>13</v>
      </c>
      <c r="K127" s="19" t="s">
        <v>18</v>
      </c>
      <c r="L127" s="19" t="s">
        <v>306</v>
      </c>
      <c r="M127" s="34">
        <f t="shared" si="9"/>
        <v>68.253811079999991</v>
      </c>
      <c r="N127" s="19">
        <v>0</v>
      </c>
      <c r="O127" s="34">
        <v>0</v>
      </c>
      <c r="P127" s="34">
        <f t="shared" si="10"/>
        <v>-68.253811079999991</v>
      </c>
      <c r="Q127" s="21">
        <f t="shared" si="11"/>
        <v>68.253811079999991</v>
      </c>
    </row>
    <row r="128" spans="1:17" x14ac:dyDescent="0.25">
      <c r="A128" s="18" t="s">
        <v>308</v>
      </c>
      <c r="B128" s="19" t="s">
        <v>1239</v>
      </c>
      <c r="C128" s="28">
        <f t="shared" si="14"/>
        <v>0</v>
      </c>
      <c r="D128" s="19" t="s">
        <v>13</v>
      </c>
      <c r="E128" s="19" t="s">
        <v>23</v>
      </c>
      <c r="F128" s="19" t="s">
        <v>49</v>
      </c>
      <c r="G128" s="19" t="s">
        <v>50</v>
      </c>
      <c r="H128" s="19" t="s">
        <v>50</v>
      </c>
      <c r="I128" s="19"/>
      <c r="J128" s="19" t="s">
        <v>13</v>
      </c>
      <c r="K128" s="19" t="s">
        <v>18</v>
      </c>
      <c r="L128" s="19">
        <v>0</v>
      </c>
      <c r="M128" s="34">
        <f t="shared" si="9"/>
        <v>0</v>
      </c>
      <c r="N128" s="19">
        <v>0</v>
      </c>
      <c r="O128" s="34">
        <v>0</v>
      </c>
      <c r="P128" s="34">
        <f t="shared" si="10"/>
        <v>0</v>
      </c>
      <c r="Q128" s="21">
        <f t="shared" si="11"/>
        <v>0</v>
      </c>
    </row>
    <row r="129" spans="1:17" x14ac:dyDescent="0.25">
      <c r="A129" s="18" t="s">
        <v>310</v>
      </c>
      <c r="B129" s="19" t="s">
        <v>1240</v>
      </c>
      <c r="C129" s="28">
        <v>58.46</v>
      </c>
      <c r="D129" s="19" t="s">
        <v>118</v>
      </c>
      <c r="E129" s="19" t="s">
        <v>14</v>
      </c>
      <c r="F129" s="19" t="s">
        <v>131</v>
      </c>
      <c r="G129" s="19" t="s">
        <v>132</v>
      </c>
      <c r="H129" s="19" t="s">
        <v>133</v>
      </c>
      <c r="I129" s="19">
        <v>81.680000000000007</v>
      </c>
      <c r="J129" s="19" t="s">
        <v>118</v>
      </c>
      <c r="K129" s="19" t="s">
        <v>18</v>
      </c>
      <c r="L129" s="19" t="s">
        <v>310</v>
      </c>
      <c r="M129" s="34">
        <f t="shared" si="9"/>
        <v>70.950563599999995</v>
      </c>
      <c r="N129" s="19" t="s">
        <v>310</v>
      </c>
      <c r="O129" s="34">
        <v>102.1039</v>
      </c>
      <c r="P129" s="34">
        <f t="shared" si="10"/>
        <v>31.153336400000001</v>
      </c>
      <c r="Q129" s="21">
        <f t="shared" si="11"/>
        <v>70.950563599999995</v>
      </c>
    </row>
    <row r="130" spans="1:17" x14ac:dyDescent="0.25">
      <c r="A130" s="18" t="s">
        <v>312</v>
      </c>
      <c r="B130" s="19" t="s">
        <v>1241</v>
      </c>
      <c r="C130" s="28">
        <v>136.71</v>
      </c>
      <c r="D130" s="19" t="s">
        <v>118</v>
      </c>
      <c r="E130" s="19" t="s">
        <v>14</v>
      </c>
      <c r="F130" s="19" t="s">
        <v>131</v>
      </c>
      <c r="G130" s="19" t="s">
        <v>132</v>
      </c>
      <c r="H130" s="19" t="s">
        <v>133</v>
      </c>
      <c r="I130" s="19">
        <v>71.69</v>
      </c>
      <c r="J130" s="19" t="s">
        <v>118</v>
      </c>
      <c r="K130" s="19" t="s">
        <v>18</v>
      </c>
      <c r="L130" s="19" t="s">
        <v>312</v>
      </c>
      <c r="M130" s="34">
        <f t="shared" si="9"/>
        <v>165.91945860000001</v>
      </c>
      <c r="N130" s="19" t="s">
        <v>312</v>
      </c>
      <c r="O130" s="34">
        <v>89.6203</v>
      </c>
      <c r="P130" s="34">
        <f t="shared" si="10"/>
        <v>-76.299158600000013</v>
      </c>
      <c r="Q130" s="21">
        <f t="shared" si="11"/>
        <v>165.91945860000001</v>
      </c>
    </row>
    <row r="131" spans="1:17" x14ac:dyDescent="0.25">
      <c r="A131" s="18" t="s">
        <v>314</v>
      </c>
      <c r="B131" s="19" t="s">
        <v>1242</v>
      </c>
      <c r="C131" s="28">
        <v>33.6</v>
      </c>
      <c r="D131" s="19" t="s">
        <v>118</v>
      </c>
      <c r="E131" s="19" t="s">
        <v>14</v>
      </c>
      <c r="F131" s="19" t="s">
        <v>131</v>
      </c>
      <c r="G131" s="19" t="s">
        <v>132</v>
      </c>
      <c r="H131" s="19" t="s">
        <v>133</v>
      </c>
      <c r="I131" s="19">
        <v>20.7</v>
      </c>
      <c r="J131" s="19" t="s">
        <v>118</v>
      </c>
      <c r="K131" s="19" t="s">
        <v>18</v>
      </c>
      <c r="L131" s="19" t="s">
        <v>314</v>
      </c>
      <c r="M131" s="34">
        <f t="shared" si="9"/>
        <v>40.778976</v>
      </c>
      <c r="N131" s="19" t="s">
        <v>314</v>
      </c>
      <c r="O131" s="34">
        <v>25.8736</v>
      </c>
      <c r="P131" s="34">
        <f t="shared" si="10"/>
        <v>-14.905376</v>
      </c>
      <c r="Q131" s="21">
        <f t="shared" si="11"/>
        <v>40.778976</v>
      </c>
    </row>
    <row r="132" spans="1:17" x14ac:dyDescent="0.25">
      <c r="A132" s="18" t="s">
        <v>316</v>
      </c>
      <c r="B132" s="19" t="s">
        <v>1243</v>
      </c>
      <c r="C132" s="28">
        <f t="shared" si="14"/>
        <v>119.48</v>
      </c>
      <c r="D132" s="19" t="s">
        <v>111</v>
      </c>
      <c r="E132" s="19" t="s">
        <v>14</v>
      </c>
      <c r="F132" s="19" t="s">
        <v>33</v>
      </c>
      <c r="G132" s="19" t="s">
        <v>34</v>
      </c>
      <c r="H132" s="19" t="s">
        <v>318</v>
      </c>
      <c r="I132" s="19">
        <v>116</v>
      </c>
      <c r="J132" s="19" t="s">
        <v>111</v>
      </c>
      <c r="K132" s="19" t="s">
        <v>18</v>
      </c>
      <c r="L132" s="19" t="s">
        <v>316</v>
      </c>
      <c r="M132" s="34">
        <f t="shared" ref="M132:M195" si="15">C132*1.21366</f>
        <v>145.0080968</v>
      </c>
      <c r="N132" s="19">
        <v>0</v>
      </c>
      <c r="O132" s="34">
        <v>0</v>
      </c>
      <c r="P132" s="34">
        <f t="shared" ref="P132:P195" si="16">O132-M132</f>
        <v>-145.0080968</v>
      </c>
      <c r="Q132" s="21">
        <f t="shared" ref="Q132:Q195" si="17">C132*1.21366</f>
        <v>145.0080968</v>
      </c>
    </row>
    <row r="133" spans="1:17" x14ac:dyDescent="0.25">
      <c r="A133" s="18" t="s">
        <v>319</v>
      </c>
      <c r="B133" s="19" t="s">
        <v>1244</v>
      </c>
      <c r="C133" s="28">
        <f t="shared" si="14"/>
        <v>2.7604000000000002</v>
      </c>
      <c r="D133" s="19" t="s">
        <v>13</v>
      </c>
      <c r="E133" s="19" t="s">
        <v>14</v>
      </c>
      <c r="F133" s="19" t="s">
        <v>15</v>
      </c>
      <c r="G133" s="19" t="s">
        <v>16</v>
      </c>
      <c r="H133" s="19" t="s">
        <v>17</v>
      </c>
      <c r="I133" s="19">
        <v>2.68</v>
      </c>
      <c r="J133" s="19" t="s">
        <v>13</v>
      </c>
      <c r="K133" s="19" t="s">
        <v>18</v>
      </c>
      <c r="L133" s="19" t="s">
        <v>319</v>
      </c>
      <c r="M133" s="34">
        <f t="shared" si="15"/>
        <v>3.350187064</v>
      </c>
      <c r="N133" s="19">
        <v>0</v>
      </c>
      <c r="O133" s="34">
        <v>0</v>
      </c>
      <c r="P133" s="34">
        <f t="shared" si="16"/>
        <v>-3.350187064</v>
      </c>
      <c r="Q133" s="21">
        <f t="shared" si="17"/>
        <v>3.350187064</v>
      </c>
    </row>
    <row r="134" spans="1:17" x14ac:dyDescent="0.25">
      <c r="A134" s="18" t="s">
        <v>321</v>
      </c>
      <c r="B134" s="19" t="s">
        <v>1245</v>
      </c>
      <c r="C134" s="28">
        <f t="shared" si="14"/>
        <v>262.1968</v>
      </c>
      <c r="D134" s="19" t="s">
        <v>32</v>
      </c>
      <c r="E134" s="19" t="s">
        <v>14</v>
      </c>
      <c r="F134" s="19" t="s">
        <v>44</v>
      </c>
      <c r="G134" s="19" t="s">
        <v>45</v>
      </c>
      <c r="H134" s="19" t="s">
        <v>46</v>
      </c>
      <c r="I134" s="19">
        <v>254.56</v>
      </c>
      <c r="J134" s="19" t="s">
        <v>32</v>
      </c>
      <c r="K134" s="19" t="s">
        <v>18</v>
      </c>
      <c r="L134" s="19" t="s">
        <v>321</v>
      </c>
      <c r="M134" s="34">
        <f t="shared" si="15"/>
        <v>318.217768288</v>
      </c>
      <c r="N134" s="19">
        <v>0</v>
      </c>
      <c r="O134" s="34">
        <v>0</v>
      </c>
      <c r="P134" s="34">
        <f t="shared" si="16"/>
        <v>-318.217768288</v>
      </c>
      <c r="Q134" s="21">
        <f t="shared" si="17"/>
        <v>318.217768288</v>
      </c>
    </row>
    <row r="135" spans="1:17" x14ac:dyDescent="0.25">
      <c r="A135" s="18" t="s">
        <v>323</v>
      </c>
      <c r="B135" s="19" t="s">
        <v>1246</v>
      </c>
      <c r="C135" s="28">
        <v>118.97</v>
      </c>
      <c r="D135" s="19" t="s">
        <v>13</v>
      </c>
      <c r="E135" s="19" t="s">
        <v>14</v>
      </c>
      <c r="F135" s="19" t="s">
        <v>33</v>
      </c>
      <c r="G135" s="19" t="s">
        <v>34</v>
      </c>
      <c r="H135" s="19" t="s">
        <v>115</v>
      </c>
      <c r="I135" s="19">
        <v>115.5</v>
      </c>
      <c r="J135" s="19" t="s">
        <v>13</v>
      </c>
      <c r="K135" s="19" t="s">
        <v>18</v>
      </c>
      <c r="L135" s="19" t="s">
        <v>323</v>
      </c>
      <c r="M135" s="34">
        <f t="shared" si="15"/>
        <v>144.38913019999998</v>
      </c>
      <c r="N135" s="19">
        <v>0</v>
      </c>
      <c r="O135" s="34">
        <v>0</v>
      </c>
      <c r="P135" s="34">
        <f t="shared" si="16"/>
        <v>-144.38913019999998</v>
      </c>
      <c r="Q135" s="21">
        <f t="shared" si="17"/>
        <v>144.38913019999998</v>
      </c>
    </row>
    <row r="136" spans="1:17" x14ac:dyDescent="0.25">
      <c r="A136" s="18" t="s">
        <v>325</v>
      </c>
      <c r="B136" s="19" t="s">
        <v>1247</v>
      </c>
      <c r="C136" s="28">
        <v>151.41</v>
      </c>
      <c r="D136" s="19" t="s">
        <v>13</v>
      </c>
      <c r="E136" s="19" t="s">
        <v>14</v>
      </c>
      <c r="F136" s="19" t="s">
        <v>33</v>
      </c>
      <c r="G136" s="19" t="s">
        <v>34</v>
      </c>
      <c r="H136" s="19" t="s">
        <v>115</v>
      </c>
      <c r="I136" s="19">
        <v>147</v>
      </c>
      <c r="J136" s="19" t="s">
        <v>13</v>
      </c>
      <c r="K136" s="19" t="s">
        <v>18</v>
      </c>
      <c r="L136" s="19" t="s">
        <v>325</v>
      </c>
      <c r="M136" s="34">
        <f t="shared" si="15"/>
        <v>183.76026059999998</v>
      </c>
      <c r="N136" s="19">
        <v>0</v>
      </c>
      <c r="O136" s="34">
        <v>0</v>
      </c>
      <c r="P136" s="34">
        <f t="shared" si="16"/>
        <v>-183.76026059999998</v>
      </c>
      <c r="Q136" s="21">
        <f t="shared" si="17"/>
        <v>183.76026059999998</v>
      </c>
    </row>
    <row r="137" spans="1:17" x14ac:dyDescent="0.25">
      <c r="A137" s="18" t="s">
        <v>327</v>
      </c>
      <c r="B137" s="19" t="s">
        <v>1248</v>
      </c>
      <c r="C137" s="28">
        <v>18</v>
      </c>
      <c r="D137" s="19" t="s">
        <v>13</v>
      </c>
      <c r="E137" s="19" t="s">
        <v>14</v>
      </c>
      <c r="F137" s="19" t="s">
        <v>33</v>
      </c>
      <c r="G137" s="19" t="s">
        <v>34</v>
      </c>
      <c r="H137" s="19" t="s">
        <v>35</v>
      </c>
      <c r="I137" s="19">
        <v>22.74</v>
      </c>
      <c r="J137" s="19" t="s">
        <v>13</v>
      </c>
      <c r="K137" s="19" t="s">
        <v>18</v>
      </c>
      <c r="L137" s="19" t="s">
        <v>327</v>
      </c>
      <c r="M137" s="34">
        <f t="shared" si="15"/>
        <v>21.845880000000001</v>
      </c>
      <c r="N137" s="19" t="s">
        <v>327</v>
      </c>
      <c r="O137" s="34">
        <v>28.428000000000001</v>
      </c>
      <c r="P137" s="34">
        <f t="shared" si="16"/>
        <v>6.5821199999999997</v>
      </c>
      <c r="Q137" s="21">
        <f t="shared" si="17"/>
        <v>21.845880000000001</v>
      </c>
    </row>
    <row r="138" spans="1:17" x14ac:dyDescent="0.25">
      <c r="A138" s="18">
        <v>2470344</v>
      </c>
      <c r="B138" s="19" t="s">
        <v>1249</v>
      </c>
      <c r="C138" s="28">
        <v>250</v>
      </c>
      <c r="D138" s="19" t="s">
        <v>118</v>
      </c>
      <c r="E138" s="19" t="s">
        <v>14</v>
      </c>
      <c r="F138" s="19" t="s">
        <v>33</v>
      </c>
      <c r="G138" s="19" t="s">
        <v>34</v>
      </c>
      <c r="H138" s="19" t="s">
        <v>330</v>
      </c>
      <c r="I138" s="19">
        <v>12.5</v>
      </c>
      <c r="J138" s="19" t="s">
        <v>331</v>
      </c>
      <c r="K138" s="19" t="s">
        <v>18</v>
      </c>
      <c r="L138" s="19">
        <v>0</v>
      </c>
      <c r="M138" s="34">
        <f t="shared" si="15"/>
        <v>303.41499999999996</v>
      </c>
      <c r="N138" s="19">
        <v>0</v>
      </c>
      <c r="O138" s="34">
        <v>0</v>
      </c>
      <c r="P138" s="34">
        <f t="shared" si="16"/>
        <v>-303.41499999999996</v>
      </c>
      <c r="Q138" s="21">
        <f t="shared" si="17"/>
        <v>303.41499999999996</v>
      </c>
    </row>
    <row r="139" spans="1:17" x14ac:dyDescent="0.25">
      <c r="A139" s="18">
        <v>2470444</v>
      </c>
      <c r="B139" s="19" t="s">
        <v>1250</v>
      </c>
      <c r="C139" s="28">
        <v>300</v>
      </c>
      <c r="D139" s="19" t="s">
        <v>118</v>
      </c>
      <c r="E139" s="19" t="s">
        <v>14</v>
      </c>
      <c r="F139" s="19" t="s">
        <v>33</v>
      </c>
      <c r="G139" s="19" t="s">
        <v>34</v>
      </c>
      <c r="H139" s="19" t="s">
        <v>330</v>
      </c>
      <c r="I139" s="19">
        <v>12.5</v>
      </c>
      <c r="J139" s="19" t="s">
        <v>331</v>
      </c>
      <c r="K139" s="19" t="s">
        <v>18</v>
      </c>
      <c r="L139" s="19">
        <v>0</v>
      </c>
      <c r="M139" s="34">
        <f t="shared" si="15"/>
        <v>364.09800000000001</v>
      </c>
      <c r="N139" s="19">
        <v>0</v>
      </c>
      <c r="O139" s="34">
        <v>0</v>
      </c>
      <c r="P139" s="34">
        <f t="shared" si="16"/>
        <v>-364.09800000000001</v>
      </c>
      <c r="Q139" s="21">
        <f t="shared" si="17"/>
        <v>364.09800000000001</v>
      </c>
    </row>
    <row r="140" spans="1:17" x14ac:dyDescent="0.25">
      <c r="A140" s="18">
        <v>2470541</v>
      </c>
      <c r="B140" s="19" t="s">
        <v>1251</v>
      </c>
      <c r="C140" s="28">
        <v>30</v>
      </c>
      <c r="D140" s="19" t="s">
        <v>334</v>
      </c>
      <c r="E140" s="19" t="s">
        <v>14</v>
      </c>
      <c r="F140" s="19" t="s">
        <v>33</v>
      </c>
      <c r="G140" s="19" t="s">
        <v>34</v>
      </c>
      <c r="H140" s="19" t="s">
        <v>330</v>
      </c>
      <c r="I140" s="19">
        <v>31.5</v>
      </c>
      <c r="J140" s="19" t="s">
        <v>331</v>
      </c>
      <c r="K140" s="19" t="s">
        <v>18</v>
      </c>
      <c r="L140" s="19">
        <v>0</v>
      </c>
      <c r="M140" s="34">
        <f t="shared" si="15"/>
        <v>36.409799999999997</v>
      </c>
      <c r="N140" s="19">
        <v>0</v>
      </c>
      <c r="O140" s="34">
        <v>0</v>
      </c>
      <c r="P140" s="34">
        <f t="shared" si="16"/>
        <v>-36.409799999999997</v>
      </c>
      <c r="Q140" s="21">
        <f t="shared" si="17"/>
        <v>36.409799999999997</v>
      </c>
    </row>
    <row r="141" spans="1:17" x14ac:dyDescent="0.25">
      <c r="A141" s="18">
        <v>245120</v>
      </c>
      <c r="B141" s="19" t="s">
        <v>1252</v>
      </c>
      <c r="C141" s="28">
        <v>216.3</v>
      </c>
      <c r="D141" s="19" t="s">
        <v>118</v>
      </c>
      <c r="E141" s="19" t="s">
        <v>14</v>
      </c>
      <c r="F141" s="19" t="s">
        <v>33</v>
      </c>
      <c r="G141" s="19" t="s">
        <v>34</v>
      </c>
      <c r="H141" s="19" t="s">
        <v>330</v>
      </c>
      <c r="I141" s="19">
        <v>210</v>
      </c>
      <c r="J141" s="19" t="s">
        <v>118</v>
      </c>
      <c r="K141" s="19" t="s">
        <v>18</v>
      </c>
      <c r="L141" s="19">
        <v>0</v>
      </c>
      <c r="M141" s="34">
        <f t="shared" si="15"/>
        <v>262.514658</v>
      </c>
      <c r="N141" s="19">
        <v>0</v>
      </c>
      <c r="O141" s="34">
        <v>0</v>
      </c>
      <c r="P141" s="34">
        <f t="shared" si="16"/>
        <v>-262.514658</v>
      </c>
      <c r="Q141" s="21">
        <f t="shared" si="17"/>
        <v>262.514658</v>
      </c>
    </row>
    <row r="142" spans="1:17" x14ac:dyDescent="0.25">
      <c r="A142" s="18">
        <v>245523</v>
      </c>
      <c r="B142" s="19" t="s">
        <v>1253</v>
      </c>
      <c r="C142" s="28">
        <v>216.3</v>
      </c>
      <c r="D142" s="19" t="s">
        <v>118</v>
      </c>
      <c r="E142" s="19" t="s">
        <v>14</v>
      </c>
      <c r="F142" s="19" t="s">
        <v>33</v>
      </c>
      <c r="G142" s="19" t="s">
        <v>34</v>
      </c>
      <c r="H142" s="19" t="s">
        <v>330</v>
      </c>
      <c r="I142" s="19">
        <v>210</v>
      </c>
      <c r="J142" s="19" t="s">
        <v>118</v>
      </c>
      <c r="K142" s="19" t="s">
        <v>18</v>
      </c>
      <c r="L142" s="19">
        <v>0</v>
      </c>
      <c r="M142" s="34">
        <f t="shared" si="15"/>
        <v>262.514658</v>
      </c>
      <c r="N142" s="19">
        <v>0</v>
      </c>
      <c r="O142" s="34">
        <v>0</v>
      </c>
      <c r="P142" s="34">
        <f t="shared" si="16"/>
        <v>-262.514658</v>
      </c>
      <c r="Q142" s="21">
        <f t="shared" si="17"/>
        <v>262.514658</v>
      </c>
    </row>
    <row r="143" spans="1:17" x14ac:dyDescent="0.25">
      <c r="A143" s="18">
        <v>246120</v>
      </c>
      <c r="B143" s="19" t="s">
        <v>1254</v>
      </c>
      <c r="C143" s="28">
        <v>247.2</v>
      </c>
      <c r="D143" s="19" t="s">
        <v>118</v>
      </c>
      <c r="E143" s="19" t="s">
        <v>14</v>
      </c>
      <c r="F143" s="19" t="s">
        <v>33</v>
      </c>
      <c r="G143" s="19" t="s">
        <v>34</v>
      </c>
      <c r="H143" s="19" t="s">
        <v>330</v>
      </c>
      <c r="I143" s="19">
        <v>12</v>
      </c>
      <c r="J143" s="19" t="s">
        <v>331</v>
      </c>
      <c r="K143" s="19" t="s">
        <v>18</v>
      </c>
      <c r="L143" s="19">
        <v>0</v>
      </c>
      <c r="M143" s="34">
        <f t="shared" si="15"/>
        <v>300.016752</v>
      </c>
      <c r="N143" s="19">
        <v>0</v>
      </c>
      <c r="O143" s="34">
        <v>0</v>
      </c>
      <c r="P143" s="34">
        <f t="shared" si="16"/>
        <v>-300.016752</v>
      </c>
      <c r="Q143" s="21">
        <f t="shared" si="17"/>
        <v>300.016752</v>
      </c>
    </row>
    <row r="144" spans="1:17" x14ac:dyDescent="0.25">
      <c r="A144" s="18">
        <v>246524</v>
      </c>
      <c r="B144" s="19" t="s">
        <v>1255</v>
      </c>
      <c r="C144" s="28">
        <v>267.8</v>
      </c>
      <c r="D144" s="19" t="s">
        <v>118</v>
      </c>
      <c r="E144" s="19" t="s">
        <v>14</v>
      </c>
      <c r="F144" s="19" t="s">
        <v>33</v>
      </c>
      <c r="G144" s="19" t="s">
        <v>34</v>
      </c>
      <c r="H144" s="19" t="s">
        <v>330</v>
      </c>
      <c r="I144" s="19">
        <v>10.833299999999999</v>
      </c>
      <c r="J144" s="19" t="s">
        <v>331</v>
      </c>
      <c r="K144" s="19" t="s">
        <v>18</v>
      </c>
      <c r="L144" s="19">
        <v>0</v>
      </c>
      <c r="M144" s="34">
        <f t="shared" si="15"/>
        <v>325.018148</v>
      </c>
      <c r="N144" s="19">
        <v>0</v>
      </c>
      <c r="O144" s="34">
        <v>0</v>
      </c>
      <c r="P144" s="34">
        <f t="shared" si="16"/>
        <v>-325.018148</v>
      </c>
      <c r="Q144" s="21">
        <f t="shared" si="17"/>
        <v>325.018148</v>
      </c>
    </row>
    <row r="145" spans="1:17" x14ac:dyDescent="0.25">
      <c r="A145" s="18" t="s">
        <v>339</v>
      </c>
      <c r="B145" s="19" t="s">
        <v>1256</v>
      </c>
      <c r="C145" s="28">
        <f>I145*3%+I145</f>
        <v>58.401000000000003</v>
      </c>
      <c r="D145" s="19" t="s">
        <v>118</v>
      </c>
      <c r="E145" s="19" t="s">
        <v>14</v>
      </c>
      <c r="F145" s="19" t="s">
        <v>119</v>
      </c>
      <c r="G145" s="19" t="s">
        <v>120</v>
      </c>
      <c r="H145" s="19" t="s">
        <v>23</v>
      </c>
      <c r="I145" s="19">
        <v>56.7</v>
      </c>
      <c r="J145" s="19" t="s">
        <v>118</v>
      </c>
      <c r="K145" s="19" t="s">
        <v>18</v>
      </c>
      <c r="L145" s="19" t="s">
        <v>339</v>
      </c>
      <c r="M145" s="34">
        <f t="shared" si="15"/>
        <v>70.878957659999998</v>
      </c>
      <c r="N145" s="19">
        <v>0</v>
      </c>
      <c r="O145" s="34">
        <v>0</v>
      </c>
      <c r="P145" s="34">
        <f t="shared" si="16"/>
        <v>-70.878957659999998</v>
      </c>
      <c r="Q145" s="21">
        <f t="shared" si="17"/>
        <v>70.878957659999998</v>
      </c>
    </row>
    <row r="146" spans="1:17" x14ac:dyDescent="0.25">
      <c r="A146" s="18" t="s">
        <v>341</v>
      </c>
      <c r="B146" s="19" t="s">
        <v>1257</v>
      </c>
      <c r="C146" s="28">
        <v>19</v>
      </c>
      <c r="D146" s="19" t="s">
        <v>13</v>
      </c>
      <c r="E146" s="19" t="s">
        <v>14</v>
      </c>
      <c r="F146" s="19" t="s">
        <v>33</v>
      </c>
      <c r="G146" s="19" t="s">
        <v>34</v>
      </c>
      <c r="H146" s="19" t="s">
        <v>198</v>
      </c>
      <c r="I146" s="19">
        <v>7.35</v>
      </c>
      <c r="J146" s="19" t="s">
        <v>13</v>
      </c>
      <c r="K146" s="19" t="s">
        <v>18</v>
      </c>
      <c r="L146" s="19" t="s">
        <v>341</v>
      </c>
      <c r="M146" s="34">
        <f t="shared" si="15"/>
        <v>23.059539999999998</v>
      </c>
      <c r="N146" s="19">
        <v>0</v>
      </c>
      <c r="O146" s="34">
        <v>0</v>
      </c>
      <c r="P146" s="34">
        <f t="shared" si="16"/>
        <v>-23.059539999999998</v>
      </c>
      <c r="Q146" s="21">
        <f t="shared" si="17"/>
        <v>23.059539999999998</v>
      </c>
    </row>
    <row r="147" spans="1:17" x14ac:dyDescent="0.25">
      <c r="A147" s="18" t="s">
        <v>343</v>
      </c>
      <c r="B147" s="19" t="s">
        <v>1258</v>
      </c>
      <c r="C147" s="28">
        <f>I147*3%+I147</f>
        <v>0.90639999999999998</v>
      </c>
      <c r="D147" s="19" t="s">
        <v>13</v>
      </c>
      <c r="E147" s="19" t="s">
        <v>14</v>
      </c>
      <c r="F147" s="19" t="s">
        <v>33</v>
      </c>
      <c r="G147" s="19" t="s">
        <v>34</v>
      </c>
      <c r="H147" s="19" t="s">
        <v>76</v>
      </c>
      <c r="I147" s="19">
        <v>0.88</v>
      </c>
      <c r="J147" s="19" t="s">
        <v>13</v>
      </c>
      <c r="K147" s="19" t="s">
        <v>18</v>
      </c>
      <c r="L147" s="19" t="s">
        <v>343</v>
      </c>
      <c r="M147" s="34">
        <f t="shared" si="15"/>
        <v>1.100061424</v>
      </c>
      <c r="N147" s="19">
        <v>0</v>
      </c>
      <c r="O147" s="34">
        <v>0</v>
      </c>
      <c r="P147" s="34">
        <f t="shared" si="16"/>
        <v>-1.100061424</v>
      </c>
      <c r="Q147" s="21">
        <f t="shared" si="17"/>
        <v>1.100061424</v>
      </c>
    </row>
    <row r="148" spans="1:17" x14ac:dyDescent="0.25">
      <c r="A148" s="18" t="s">
        <v>345</v>
      </c>
      <c r="B148" s="19" t="s">
        <v>1259</v>
      </c>
      <c r="C148" s="28">
        <f t="shared" ref="C148:C150" si="18">I148*3%+I148</f>
        <v>22.804200000000002</v>
      </c>
      <c r="D148" s="19" t="s">
        <v>124</v>
      </c>
      <c r="E148" s="19" t="s">
        <v>14</v>
      </c>
      <c r="F148" s="19" t="s">
        <v>44</v>
      </c>
      <c r="G148" s="19" t="s">
        <v>45</v>
      </c>
      <c r="H148" s="19" t="s">
        <v>347</v>
      </c>
      <c r="I148" s="19">
        <v>22.14</v>
      </c>
      <c r="J148" s="19" t="s">
        <v>124</v>
      </c>
      <c r="K148" s="19" t="s">
        <v>18</v>
      </c>
      <c r="L148" s="19" t="s">
        <v>345</v>
      </c>
      <c r="M148" s="34">
        <f t="shared" si="15"/>
        <v>27.676545372</v>
      </c>
      <c r="N148" s="19">
        <v>0</v>
      </c>
      <c r="O148" s="34">
        <v>0</v>
      </c>
      <c r="P148" s="34">
        <f t="shared" si="16"/>
        <v>-27.676545372</v>
      </c>
      <c r="Q148" s="21">
        <f t="shared" si="17"/>
        <v>27.676545372</v>
      </c>
    </row>
    <row r="149" spans="1:17" x14ac:dyDescent="0.25">
      <c r="A149" s="18" t="s">
        <v>348</v>
      </c>
      <c r="B149" s="19" t="s">
        <v>1260</v>
      </c>
      <c r="C149" s="28">
        <f t="shared" si="18"/>
        <v>51.911999999999999</v>
      </c>
      <c r="D149" s="19" t="s">
        <v>13</v>
      </c>
      <c r="E149" s="19" t="s">
        <v>23</v>
      </c>
      <c r="F149" s="19" t="s">
        <v>49</v>
      </c>
      <c r="G149" s="19" t="s">
        <v>50</v>
      </c>
      <c r="H149" s="19" t="s">
        <v>50</v>
      </c>
      <c r="I149" s="19">
        <v>50.4</v>
      </c>
      <c r="J149" s="19" t="s">
        <v>13</v>
      </c>
      <c r="K149" s="19" t="s">
        <v>18</v>
      </c>
      <c r="L149" s="19" t="s">
        <v>348</v>
      </c>
      <c r="M149" s="34">
        <f t="shared" si="15"/>
        <v>63.00351792</v>
      </c>
      <c r="N149" s="19">
        <v>0</v>
      </c>
      <c r="O149" s="34">
        <v>0</v>
      </c>
      <c r="P149" s="34">
        <f t="shared" si="16"/>
        <v>-63.00351792</v>
      </c>
      <c r="Q149" s="21">
        <f t="shared" si="17"/>
        <v>63.00351792</v>
      </c>
    </row>
    <row r="150" spans="1:17" x14ac:dyDescent="0.25">
      <c r="A150" s="18" t="s">
        <v>350</v>
      </c>
      <c r="B150" s="19" t="s">
        <v>1261</v>
      </c>
      <c r="C150" s="28">
        <f t="shared" si="18"/>
        <v>46.319099999999999</v>
      </c>
      <c r="D150" s="19" t="s">
        <v>13</v>
      </c>
      <c r="E150" s="19" t="s">
        <v>14</v>
      </c>
      <c r="F150" s="19" t="s">
        <v>33</v>
      </c>
      <c r="G150" s="19" t="s">
        <v>34</v>
      </c>
      <c r="H150" s="19" t="s">
        <v>115</v>
      </c>
      <c r="I150" s="19">
        <v>44.97</v>
      </c>
      <c r="J150" s="19" t="s">
        <v>13</v>
      </c>
      <c r="K150" s="19" t="s">
        <v>18</v>
      </c>
      <c r="L150" s="19" t="s">
        <v>350</v>
      </c>
      <c r="M150" s="34">
        <f t="shared" si="15"/>
        <v>56.215638905999995</v>
      </c>
      <c r="N150" s="19">
        <v>0</v>
      </c>
      <c r="O150" s="34">
        <v>0</v>
      </c>
      <c r="P150" s="34">
        <f t="shared" si="16"/>
        <v>-56.215638905999995</v>
      </c>
      <c r="Q150" s="21">
        <f t="shared" si="17"/>
        <v>56.215638905999995</v>
      </c>
    </row>
    <row r="151" spans="1:17" x14ac:dyDescent="0.25">
      <c r="A151" s="18" t="s">
        <v>352</v>
      </c>
      <c r="B151" s="19" t="s">
        <v>1262</v>
      </c>
      <c r="C151" s="28">
        <v>194.67</v>
      </c>
      <c r="D151" s="19" t="s">
        <v>13</v>
      </c>
      <c r="E151" s="19" t="s">
        <v>14</v>
      </c>
      <c r="F151" s="19" t="s">
        <v>33</v>
      </c>
      <c r="G151" s="19" t="s">
        <v>34</v>
      </c>
      <c r="H151" s="19" t="s">
        <v>115</v>
      </c>
      <c r="I151" s="19">
        <v>189</v>
      </c>
      <c r="J151" s="19" t="s">
        <v>13</v>
      </c>
      <c r="K151" s="19" t="s">
        <v>18</v>
      </c>
      <c r="L151" s="19" t="s">
        <v>352</v>
      </c>
      <c r="M151" s="34">
        <f t="shared" si="15"/>
        <v>236.26319219999996</v>
      </c>
      <c r="N151" s="19">
        <v>0</v>
      </c>
      <c r="O151" s="34">
        <v>0</v>
      </c>
      <c r="P151" s="34">
        <f t="shared" si="16"/>
        <v>-236.26319219999996</v>
      </c>
      <c r="Q151" s="21">
        <f t="shared" si="17"/>
        <v>236.26319219999996</v>
      </c>
    </row>
    <row r="152" spans="1:17" x14ac:dyDescent="0.25">
      <c r="A152" s="18" t="s">
        <v>354</v>
      </c>
      <c r="B152" s="19" t="s">
        <v>1263</v>
      </c>
      <c r="C152" s="28">
        <v>281.19</v>
      </c>
      <c r="D152" s="19" t="s">
        <v>13</v>
      </c>
      <c r="E152" s="19" t="s">
        <v>14</v>
      </c>
      <c r="F152" s="19" t="s">
        <v>33</v>
      </c>
      <c r="G152" s="19" t="s">
        <v>34</v>
      </c>
      <c r="H152" s="19" t="s">
        <v>115</v>
      </c>
      <c r="I152" s="19">
        <v>273</v>
      </c>
      <c r="J152" s="19" t="s">
        <v>13</v>
      </c>
      <c r="K152" s="19" t="s">
        <v>18</v>
      </c>
      <c r="L152" s="19" t="s">
        <v>354</v>
      </c>
      <c r="M152" s="34">
        <f t="shared" si="15"/>
        <v>341.26905540000001</v>
      </c>
      <c r="N152" s="19">
        <v>0</v>
      </c>
      <c r="O152" s="34">
        <v>0</v>
      </c>
      <c r="P152" s="34">
        <f t="shared" si="16"/>
        <v>-341.26905540000001</v>
      </c>
      <c r="Q152" s="21">
        <f t="shared" si="17"/>
        <v>341.26905540000001</v>
      </c>
    </row>
    <row r="153" spans="1:17" x14ac:dyDescent="0.25">
      <c r="A153" s="18" t="s">
        <v>356</v>
      </c>
      <c r="B153" s="19" t="s">
        <v>1264</v>
      </c>
      <c r="C153" s="28">
        <f>I153*3%+I153</f>
        <v>31.5489</v>
      </c>
      <c r="D153" s="19" t="s">
        <v>32</v>
      </c>
      <c r="E153" s="19" t="s">
        <v>14</v>
      </c>
      <c r="F153" s="19" t="s">
        <v>33</v>
      </c>
      <c r="G153" s="19" t="s">
        <v>34</v>
      </c>
      <c r="H153" s="19" t="s">
        <v>265</v>
      </c>
      <c r="I153" s="19">
        <v>30.63</v>
      </c>
      <c r="J153" s="19" t="s">
        <v>32</v>
      </c>
      <c r="K153" s="19" t="s">
        <v>18</v>
      </c>
      <c r="L153" s="19" t="s">
        <v>356</v>
      </c>
      <c r="M153" s="34">
        <f t="shared" si="15"/>
        <v>38.289637974000001</v>
      </c>
      <c r="N153" s="19" t="s">
        <v>356</v>
      </c>
      <c r="O153" s="34">
        <v>38.2851</v>
      </c>
      <c r="P153" s="34">
        <f t="shared" si="16"/>
        <v>-4.5379740000015545E-3</v>
      </c>
      <c r="Q153" s="21">
        <f t="shared" si="17"/>
        <v>38.289637974000001</v>
      </c>
    </row>
    <row r="154" spans="1:17" x14ac:dyDescent="0.25">
      <c r="A154" s="18" t="s">
        <v>358</v>
      </c>
      <c r="B154" s="19" t="s">
        <v>1265</v>
      </c>
      <c r="C154" s="28">
        <f>I154*3%+I154</f>
        <v>601.42729999999995</v>
      </c>
      <c r="D154" s="19" t="s">
        <v>13</v>
      </c>
      <c r="E154" s="19" t="s">
        <v>14</v>
      </c>
      <c r="F154" s="19" t="s">
        <v>33</v>
      </c>
      <c r="G154" s="19" t="s">
        <v>34</v>
      </c>
      <c r="H154" s="19" t="s">
        <v>231</v>
      </c>
      <c r="I154" s="19">
        <v>583.91</v>
      </c>
      <c r="J154" s="19" t="s">
        <v>13</v>
      </c>
      <c r="K154" s="19" t="s">
        <v>18</v>
      </c>
      <c r="L154" s="19" t="s">
        <v>358</v>
      </c>
      <c r="M154" s="34">
        <f t="shared" si="15"/>
        <v>729.92825691799987</v>
      </c>
      <c r="N154" s="19">
        <v>0</v>
      </c>
      <c r="O154" s="34">
        <v>0</v>
      </c>
      <c r="P154" s="34">
        <f t="shared" si="16"/>
        <v>-729.92825691799987</v>
      </c>
      <c r="Q154" s="21">
        <f t="shared" si="17"/>
        <v>729.92825691799987</v>
      </c>
    </row>
    <row r="155" spans="1:17" x14ac:dyDescent="0.25">
      <c r="A155" s="18" t="s">
        <v>360</v>
      </c>
      <c r="B155" s="19" t="s">
        <v>1266</v>
      </c>
      <c r="C155" s="28">
        <v>40</v>
      </c>
      <c r="D155" s="19" t="s">
        <v>32</v>
      </c>
      <c r="E155" s="19" t="s">
        <v>14</v>
      </c>
      <c r="F155" s="19" t="s">
        <v>33</v>
      </c>
      <c r="G155" s="19" t="s">
        <v>34</v>
      </c>
      <c r="H155" s="19" t="s">
        <v>265</v>
      </c>
      <c r="I155" s="19">
        <v>48.3</v>
      </c>
      <c r="J155" s="19" t="s">
        <v>32</v>
      </c>
      <c r="K155" s="19" t="s">
        <v>18</v>
      </c>
      <c r="L155" s="19" t="s">
        <v>360</v>
      </c>
      <c r="M155" s="34">
        <f t="shared" si="15"/>
        <v>48.546399999999998</v>
      </c>
      <c r="N155" s="19" t="s">
        <v>360</v>
      </c>
      <c r="O155" s="34">
        <v>60.378599999999999</v>
      </c>
      <c r="P155" s="34">
        <f t="shared" si="16"/>
        <v>11.8322</v>
      </c>
      <c r="Q155" s="21">
        <f t="shared" si="17"/>
        <v>48.546399999999998</v>
      </c>
    </row>
    <row r="156" spans="1:17" x14ac:dyDescent="0.25">
      <c r="A156" s="18" t="s">
        <v>362</v>
      </c>
      <c r="B156" s="19" t="s">
        <v>1267</v>
      </c>
      <c r="C156" s="28">
        <v>48</v>
      </c>
      <c r="D156" s="19" t="s">
        <v>111</v>
      </c>
      <c r="E156" s="19" t="s">
        <v>14</v>
      </c>
      <c r="F156" s="19" t="s">
        <v>33</v>
      </c>
      <c r="G156" s="19" t="s">
        <v>34</v>
      </c>
      <c r="H156" s="19" t="s">
        <v>265</v>
      </c>
      <c r="I156" s="19">
        <v>66.510000000000005</v>
      </c>
      <c r="J156" s="19" t="s">
        <v>111</v>
      </c>
      <c r="K156" s="19" t="s">
        <v>18</v>
      </c>
      <c r="L156" s="19" t="s">
        <v>362</v>
      </c>
      <c r="M156" s="34">
        <f t="shared" si="15"/>
        <v>58.255679999999998</v>
      </c>
      <c r="N156" s="19" t="s">
        <v>362</v>
      </c>
      <c r="O156" s="34">
        <v>83.141599999999997</v>
      </c>
      <c r="P156" s="34">
        <f t="shared" si="16"/>
        <v>24.885919999999999</v>
      </c>
      <c r="Q156" s="21">
        <f t="shared" si="17"/>
        <v>58.255679999999998</v>
      </c>
    </row>
    <row r="157" spans="1:17" x14ac:dyDescent="0.25">
      <c r="A157" s="18" t="s">
        <v>364</v>
      </c>
      <c r="B157" s="19" t="s">
        <v>1268</v>
      </c>
      <c r="C157" s="28">
        <f>I157*3%+I157</f>
        <v>47.977399999999996</v>
      </c>
      <c r="D157" s="19" t="s">
        <v>32</v>
      </c>
      <c r="E157" s="19" t="s">
        <v>14</v>
      </c>
      <c r="F157" s="19" t="s">
        <v>33</v>
      </c>
      <c r="G157" s="19" t="s">
        <v>34</v>
      </c>
      <c r="H157" s="19" t="s">
        <v>265</v>
      </c>
      <c r="I157" s="19">
        <v>46.58</v>
      </c>
      <c r="J157" s="19" t="s">
        <v>32</v>
      </c>
      <c r="K157" s="19" t="s">
        <v>18</v>
      </c>
      <c r="L157" s="19" t="s">
        <v>364</v>
      </c>
      <c r="M157" s="34">
        <f t="shared" si="15"/>
        <v>58.228251283999995</v>
      </c>
      <c r="N157" s="19" t="s">
        <v>364</v>
      </c>
      <c r="O157" s="34">
        <v>21.496099999999998</v>
      </c>
      <c r="P157" s="34">
        <f t="shared" si="16"/>
        <v>-36.732151283999997</v>
      </c>
      <c r="Q157" s="21">
        <f t="shared" si="17"/>
        <v>58.228251283999995</v>
      </c>
    </row>
    <row r="158" spans="1:17" x14ac:dyDescent="0.25">
      <c r="A158" s="18" t="s">
        <v>366</v>
      </c>
      <c r="B158" s="19" t="s">
        <v>1269</v>
      </c>
      <c r="C158" s="28">
        <v>88</v>
      </c>
      <c r="D158" s="19" t="s">
        <v>242</v>
      </c>
      <c r="E158" s="19" t="s">
        <v>14</v>
      </c>
      <c r="F158" s="19" t="s">
        <v>33</v>
      </c>
      <c r="G158" s="19" t="s">
        <v>34</v>
      </c>
      <c r="H158" s="19" t="s">
        <v>265</v>
      </c>
      <c r="I158" s="19">
        <v>90.93</v>
      </c>
      <c r="J158" s="19" t="s">
        <v>242</v>
      </c>
      <c r="K158" s="19" t="s">
        <v>18</v>
      </c>
      <c r="L158" s="19" t="s">
        <v>366</v>
      </c>
      <c r="M158" s="34">
        <f t="shared" si="15"/>
        <v>106.80207999999999</v>
      </c>
      <c r="N158" s="19" t="s">
        <v>366</v>
      </c>
      <c r="O158" s="34">
        <v>113.6708</v>
      </c>
      <c r="P158" s="34">
        <f t="shared" si="16"/>
        <v>6.8687200000000104</v>
      </c>
      <c r="Q158" s="21">
        <f t="shared" si="17"/>
        <v>106.80207999999999</v>
      </c>
    </row>
    <row r="159" spans="1:17" x14ac:dyDescent="0.25">
      <c r="A159" s="18" t="s">
        <v>368</v>
      </c>
      <c r="B159" s="19" t="s">
        <v>1270</v>
      </c>
      <c r="C159" s="28">
        <f>I159*3%+I159</f>
        <v>0</v>
      </c>
      <c r="D159" s="19" t="s">
        <v>111</v>
      </c>
      <c r="E159" s="19" t="s">
        <v>14</v>
      </c>
      <c r="F159" s="19" t="s">
        <v>33</v>
      </c>
      <c r="G159" s="19" t="s">
        <v>34</v>
      </c>
      <c r="H159" s="19" t="s">
        <v>265</v>
      </c>
      <c r="I159" s="19">
        <v>0</v>
      </c>
      <c r="J159" s="19" t="s">
        <v>111</v>
      </c>
      <c r="K159" s="19" t="s">
        <v>18</v>
      </c>
      <c r="L159" s="19" t="s">
        <v>368</v>
      </c>
      <c r="M159" s="34">
        <f t="shared" si="15"/>
        <v>0</v>
      </c>
      <c r="N159" s="19">
        <v>0</v>
      </c>
      <c r="O159" s="34">
        <v>0</v>
      </c>
      <c r="P159" s="34">
        <f t="shared" si="16"/>
        <v>0</v>
      </c>
      <c r="Q159" s="21">
        <f t="shared" si="17"/>
        <v>0</v>
      </c>
    </row>
    <row r="160" spans="1:17" x14ac:dyDescent="0.25">
      <c r="A160" s="18" t="s">
        <v>370</v>
      </c>
      <c r="B160" s="19" t="s">
        <v>1271</v>
      </c>
      <c r="C160" s="28">
        <f t="shared" ref="C160:C162" si="19">I160*3%+I160</f>
        <v>46.35</v>
      </c>
      <c r="D160" s="19" t="s">
        <v>32</v>
      </c>
      <c r="E160" s="19" t="s">
        <v>14</v>
      </c>
      <c r="F160" s="19" t="s">
        <v>33</v>
      </c>
      <c r="G160" s="19" t="s">
        <v>34</v>
      </c>
      <c r="H160" s="19" t="s">
        <v>265</v>
      </c>
      <c r="I160" s="19">
        <v>45</v>
      </c>
      <c r="J160" s="19" t="s">
        <v>32</v>
      </c>
      <c r="K160" s="19" t="s">
        <v>18</v>
      </c>
      <c r="L160" s="19" t="s">
        <v>370</v>
      </c>
      <c r="M160" s="34">
        <f t="shared" si="15"/>
        <v>56.253140999999999</v>
      </c>
      <c r="N160" s="19">
        <v>0</v>
      </c>
      <c r="O160" s="34">
        <v>0</v>
      </c>
      <c r="P160" s="34">
        <f t="shared" si="16"/>
        <v>-56.253140999999999</v>
      </c>
      <c r="Q160" s="21">
        <f t="shared" si="17"/>
        <v>56.253140999999999</v>
      </c>
    </row>
    <row r="161" spans="1:17" x14ac:dyDescent="0.25">
      <c r="A161" s="18" t="s">
        <v>372</v>
      </c>
      <c r="B161" s="19" t="s">
        <v>1272</v>
      </c>
      <c r="C161" s="28">
        <f t="shared" si="19"/>
        <v>14.214</v>
      </c>
      <c r="D161" s="19" t="s">
        <v>111</v>
      </c>
      <c r="E161" s="19" t="s">
        <v>14</v>
      </c>
      <c r="F161" s="19" t="s">
        <v>33</v>
      </c>
      <c r="G161" s="19" t="s">
        <v>34</v>
      </c>
      <c r="H161" s="19" t="s">
        <v>265</v>
      </c>
      <c r="I161" s="19">
        <v>13.8</v>
      </c>
      <c r="J161" s="19" t="s">
        <v>111</v>
      </c>
      <c r="K161" s="19" t="s">
        <v>18</v>
      </c>
      <c r="L161" s="19" t="s">
        <v>372</v>
      </c>
      <c r="M161" s="34">
        <f t="shared" si="15"/>
        <v>17.250963240000001</v>
      </c>
      <c r="N161" s="19">
        <v>0</v>
      </c>
      <c r="O161" s="34">
        <v>0</v>
      </c>
      <c r="P161" s="34">
        <f t="shared" si="16"/>
        <v>-17.250963240000001</v>
      </c>
      <c r="Q161" s="21">
        <f t="shared" si="17"/>
        <v>17.250963240000001</v>
      </c>
    </row>
    <row r="162" spans="1:17" x14ac:dyDescent="0.25">
      <c r="A162" s="18" t="s">
        <v>374</v>
      </c>
      <c r="B162" s="19" t="s">
        <v>1273</v>
      </c>
      <c r="C162" s="28">
        <f t="shared" si="19"/>
        <v>27.748200000000001</v>
      </c>
      <c r="D162" s="19" t="s">
        <v>32</v>
      </c>
      <c r="E162" s="19" t="s">
        <v>14</v>
      </c>
      <c r="F162" s="19" t="s">
        <v>33</v>
      </c>
      <c r="G162" s="19" t="s">
        <v>34</v>
      </c>
      <c r="H162" s="19" t="s">
        <v>265</v>
      </c>
      <c r="I162" s="19">
        <v>26.94</v>
      </c>
      <c r="J162" s="19" t="s">
        <v>32</v>
      </c>
      <c r="K162" s="19" t="s">
        <v>18</v>
      </c>
      <c r="L162" s="19" t="s">
        <v>374</v>
      </c>
      <c r="M162" s="34">
        <f t="shared" si="15"/>
        <v>33.676880412000003</v>
      </c>
      <c r="N162" s="19">
        <v>0</v>
      </c>
      <c r="O162" s="34">
        <v>0</v>
      </c>
      <c r="P162" s="34">
        <f t="shared" si="16"/>
        <v>-33.676880412000003</v>
      </c>
      <c r="Q162" s="21">
        <f t="shared" si="17"/>
        <v>33.676880412000003</v>
      </c>
    </row>
    <row r="163" spans="1:17" x14ac:dyDescent="0.25">
      <c r="A163" s="18">
        <v>7268020</v>
      </c>
      <c r="B163" s="19" t="s">
        <v>1274</v>
      </c>
      <c r="C163" s="28">
        <v>76.239999999999995</v>
      </c>
      <c r="D163" s="19" t="s">
        <v>111</v>
      </c>
      <c r="E163" s="19" t="s">
        <v>14</v>
      </c>
      <c r="F163" s="19" t="s">
        <v>33</v>
      </c>
      <c r="G163" s="19" t="s">
        <v>34</v>
      </c>
      <c r="H163" s="19" t="s">
        <v>377</v>
      </c>
      <c r="I163" s="19"/>
      <c r="J163" s="19" t="s">
        <v>111</v>
      </c>
      <c r="K163" s="19" t="s">
        <v>18</v>
      </c>
      <c r="L163" s="19">
        <v>0</v>
      </c>
      <c r="M163" s="34">
        <f t="shared" si="15"/>
        <v>92.529438399999989</v>
      </c>
      <c r="N163" s="19">
        <v>0</v>
      </c>
      <c r="O163" s="34">
        <v>0</v>
      </c>
      <c r="P163" s="34">
        <f t="shared" si="16"/>
        <v>-92.529438399999989</v>
      </c>
      <c r="Q163" s="21">
        <f t="shared" si="17"/>
        <v>92.529438399999989</v>
      </c>
    </row>
    <row r="164" spans="1:17" x14ac:dyDescent="0.25">
      <c r="A164" s="18">
        <v>176160</v>
      </c>
      <c r="B164" s="19" t="s">
        <v>1275</v>
      </c>
      <c r="C164" s="28">
        <v>92</v>
      </c>
      <c r="D164" s="19" t="s">
        <v>191</v>
      </c>
      <c r="E164" s="19" t="s">
        <v>14</v>
      </c>
      <c r="F164" s="19" t="s">
        <v>33</v>
      </c>
      <c r="G164" s="19" t="s">
        <v>34</v>
      </c>
      <c r="H164" s="19" t="s">
        <v>180</v>
      </c>
      <c r="I164" s="19">
        <v>9.4309999999999992</v>
      </c>
      <c r="J164" s="19" t="s">
        <v>379</v>
      </c>
      <c r="K164" s="19" t="s">
        <v>18</v>
      </c>
      <c r="L164" s="19">
        <v>0</v>
      </c>
      <c r="M164" s="34">
        <f t="shared" si="15"/>
        <v>111.65671999999999</v>
      </c>
      <c r="N164" s="19">
        <v>0</v>
      </c>
      <c r="O164" s="34">
        <v>0</v>
      </c>
      <c r="P164" s="34">
        <f t="shared" si="16"/>
        <v>-111.65671999999999</v>
      </c>
      <c r="Q164" s="21">
        <f t="shared" si="17"/>
        <v>111.65671999999999</v>
      </c>
    </row>
    <row r="165" spans="1:17" x14ac:dyDescent="0.25">
      <c r="A165" s="18">
        <v>176560</v>
      </c>
      <c r="B165" s="19" t="s">
        <v>1276</v>
      </c>
      <c r="C165" s="28">
        <v>92</v>
      </c>
      <c r="D165" s="19" t="s">
        <v>191</v>
      </c>
      <c r="E165" s="19" t="s">
        <v>14</v>
      </c>
      <c r="F165" s="19" t="s">
        <v>33</v>
      </c>
      <c r="G165" s="19" t="s">
        <v>34</v>
      </c>
      <c r="H165" s="19" t="s">
        <v>180</v>
      </c>
      <c r="I165" s="19">
        <v>14.1286</v>
      </c>
      <c r="J165" s="19" t="s">
        <v>379</v>
      </c>
      <c r="K165" s="19" t="s">
        <v>18</v>
      </c>
      <c r="L165" s="19">
        <v>0</v>
      </c>
      <c r="M165" s="34">
        <f t="shared" si="15"/>
        <v>111.65671999999999</v>
      </c>
      <c r="N165" s="19">
        <v>0</v>
      </c>
      <c r="O165" s="34">
        <v>0</v>
      </c>
      <c r="P165" s="34">
        <f t="shared" si="16"/>
        <v>-111.65671999999999</v>
      </c>
      <c r="Q165" s="21">
        <f t="shared" si="17"/>
        <v>111.65671999999999</v>
      </c>
    </row>
    <row r="166" spans="1:17" x14ac:dyDescent="0.25">
      <c r="A166" s="18">
        <v>176660</v>
      </c>
      <c r="B166" s="19" t="s">
        <v>1277</v>
      </c>
      <c r="C166" s="28">
        <v>92</v>
      </c>
      <c r="D166" s="19" t="s">
        <v>191</v>
      </c>
      <c r="E166" s="19" t="s">
        <v>14</v>
      </c>
      <c r="F166" s="19" t="s">
        <v>33</v>
      </c>
      <c r="G166" s="19" t="s">
        <v>34</v>
      </c>
      <c r="H166" s="19" t="s">
        <v>180</v>
      </c>
      <c r="I166" s="19">
        <v>23.564</v>
      </c>
      <c r="J166" s="19" t="s">
        <v>379</v>
      </c>
      <c r="K166" s="19" t="s">
        <v>18</v>
      </c>
      <c r="L166" s="19">
        <v>0</v>
      </c>
      <c r="M166" s="34">
        <f t="shared" si="15"/>
        <v>111.65671999999999</v>
      </c>
      <c r="N166" s="19">
        <v>0</v>
      </c>
      <c r="O166" s="34">
        <v>0</v>
      </c>
      <c r="P166" s="34">
        <f t="shared" si="16"/>
        <v>-111.65671999999999</v>
      </c>
      <c r="Q166" s="21">
        <f t="shared" si="17"/>
        <v>111.65671999999999</v>
      </c>
    </row>
    <row r="167" spans="1:17" x14ac:dyDescent="0.25">
      <c r="A167" s="18">
        <v>1774631</v>
      </c>
      <c r="B167" s="19" t="s">
        <v>1278</v>
      </c>
      <c r="C167" s="28">
        <v>339.9</v>
      </c>
      <c r="D167" s="19" t="s">
        <v>191</v>
      </c>
      <c r="E167" s="19" t="s">
        <v>14</v>
      </c>
      <c r="F167" s="19" t="s">
        <v>33</v>
      </c>
      <c r="G167" s="19" t="s">
        <v>34</v>
      </c>
      <c r="H167" s="19" t="s">
        <v>180</v>
      </c>
      <c r="I167" s="19">
        <v>330</v>
      </c>
      <c r="J167" s="19" t="s">
        <v>383</v>
      </c>
      <c r="K167" s="19" t="s">
        <v>18</v>
      </c>
      <c r="L167" s="19">
        <v>0</v>
      </c>
      <c r="M167" s="34">
        <f t="shared" si="15"/>
        <v>412.52303399999994</v>
      </c>
      <c r="N167" s="19">
        <v>0</v>
      </c>
      <c r="O167" s="34">
        <v>0</v>
      </c>
      <c r="P167" s="34">
        <f t="shared" si="16"/>
        <v>-412.52303399999994</v>
      </c>
      <c r="Q167" s="21">
        <f t="shared" si="17"/>
        <v>412.52303399999994</v>
      </c>
    </row>
    <row r="168" spans="1:17" x14ac:dyDescent="0.25">
      <c r="A168" s="18">
        <v>177142</v>
      </c>
      <c r="B168" s="19" t="s">
        <v>1279</v>
      </c>
      <c r="C168" s="28">
        <v>12</v>
      </c>
      <c r="D168" s="19" t="s">
        <v>124</v>
      </c>
      <c r="E168" s="19" t="s">
        <v>14</v>
      </c>
      <c r="F168" s="19" t="s">
        <v>33</v>
      </c>
      <c r="G168" s="19" t="s">
        <v>34</v>
      </c>
      <c r="H168" s="19" t="s">
        <v>180</v>
      </c>
      <c r="I168" s="19">
        <v>12.23</v>
      </c>
      <c r="J168" s="19" t="s">
        <v>124</v>
      </c>
      <c r="K168" s="19" t="s">
        <v>18</v>
      </c>
      <c r="L168" s="19">
        <v>0</v>
      </c>
      <c r="M168" s="34">
        <f t="shared" si="15"/>
        <v>14.56392</v>
      </c>
      <c r="N168" s="19">
        <v>0</v>
      </c>
      <c r="O168" s="34">
        <v>0</v>
      </c>
      <c r="P168" s="34">
        <f t="shared" si="16"/>
        <v>-14.56392</v>
      </c>
      <c r="Q168" s="21">
        <f t="shared" si="17"/>
        <v>14.56392</v>
      </c>
    </row>
    <row r="169" spans="1:17" x14ac:dyDescent="0.25">
      <c r="A169" s="18" t="s">
        <v>385</v>
      </c>
      <c r="B169" s="19" t="s">
        <v>1280</v>
      </c>
      <c r="C169" s="28">
        <f>I169*3%+I169</f>
        <v>1622.25</v>
      </c>
      <c r="D169" s="19" t="s">
        <v>242</v>
      </c>
      <c r="E169" s="19" t="s">
        <v>14</v>
      </c>
      <c r="F169" s="19" t="s">
        <v>33</v>
      </c>
      <c r="G169" s="19" t="s">
        <v>34</v>
      </c>
      <c r="H169" s="19" t="s">
        <v>387</v>
      </c>
      <c r="I169" s="19">
        <v>1575</v>
      </c>
      <c r="J169" s="19" t="s">
        <v>13</v>
      </c>
      <c r="K169" s="19" t="s">
        <v>18</v>
      </c>
      <c r="L169" s="19">
        <v>0</v>
      </c>
      <c r="M169" s="34">
        <f t="shared" si="15"/>
        <v>1968.859935</v>
      </c>
      <c r="N169" s="19">
        <v>0</v>
      </c>
      <c r="O169" s="34">
        <v>0</v>
      </c>
      <c r="P169" s="34">
        <f t="shared" si="16"/>
        <v>-1968.859935</v>
      </c>
      <c r="Q169" s="21">
        <f t="shared" si="17"/>
        <v>1968.859935</v>
      </c>
    </row>
    <row r="170" spans="1:17" x14ac:dyDescent="0.25">
      <c r="A170" s="18" t="s">
        <v>388</v>
      </c>
      <c r="B170" s="19" t="s">
        <v>1281</v>
      </c>
      <c r="C170" s="28">
        <v>1131.52</v>
      </c>
      <c r="D170" s="19" t="s">
        <v>242</v>
      </c>
      <c r="E170" s="19" t="s">
        <v>14</v>
      </c>
      <c r="F170" s="19" t="s">
        <v>33</v>
      </c>
      <c r="G170" s="19" t="s">
        <v>34</v>
      </c>
      <c r="H170" s="19" t="s">
        <v>387</v>
      </c>
      <c r="I170" s="19">
        <v>1098.5671</v>
      </c>
      <c r="J170" s="19" t="s">
        <v>13</v>
      </c>
      <c r="K170" s="19" t="s">
        <v>18</v>
      </c>
      <c r="L170" s="19">
        <v>0</v>
      </c>
      <c r="M170" s="34">
        <f t="shared" si="15"/>
        <v>1373.2805632</v>
      </c>
      <c r="N170" s="19">
        <v>0</v>
      </c>
      <c r="O170" s="34">
        <v>0</v>
      </c>
      <c r="P170" s="34">
        <f t="shared" si="16"/>
        <v>-1373.2805632</v>
      </c>
      <c r="Q170" s="21">
        <f t="shared" si="17"/>
        <v>1373.2805632</v>
      </c>
    </row>
    <row r="171" spans="1:17" x14ac:dyDescent="0.25">
      <c r="A171" s="18">
        <v>1775199</v>
      </c>
      <c r="B171" s="19" t="s">
        <v>1282</v>
      </c>
      <c r="C171" s="28">
        <v>6.25</v>
      </c>
      <c r="D171" s="19" t="s">
        <v>13</v>
      </c>
      <c r="E171" s="19" t="s">
        <v>14</v>
      </c>
      <c r="F171" s="19" t="s">
        <v>33</v>
      </c>
      <c r="G171" s="19" t="s">
        <v>34</v>
      </c>
      <c r="H171" s="19" t="s">
        <v>387</v>
      </c>
      <c r="I171" s="19">
        <v>6.0709999999999997</v>
      </c>
      <c r="J171" s="19" t="s">
        <v>13</v>
      </c>
      <c r="K171" s="19" t="s">
        <v>18</v>
      </c>
      <c r="L171" s="19">
        <v>0</v>
      </c>
      <c r="M171" s="34">
        <f t="shared" si="15"/>
        <v>7.585375</v>
      </c>
      <c r="N171" s="19">
        <v>0</v>
      </c>
      <c r="O171" s="34">
        <v>0</v>
      </c>
      <c r="P171" s="34">
        <f t="shared" si="16"/>
        <v>-7.585375</v>
      </c>
      <c r="Q171" s="21">
        <f t="shared" si="17"/>
        <v>7.585375</v>
      </c>
    </row>
    <row r="172" spans="1:17" x14ac:dyDescent="0.25">
      <c r="A172" s="18">
        <v>1767120</v>
      </c>
      <c r="B172" s="19" t="s">
        <v>1283</v>
      </c>
      <c r="C172" s="28">
        <v>378.53</v>
      </c>
      <c r="D172" s="19" t="s">
        <v>191</v>
      </c>
      <c r="E172" s="19" t="s">
        <v>14</v>
      </c>
      <c r="F172" s="19" t="s">
        <v>33</v>
      </c>
      <c r="G172" s="19" t="s">
        <v>34</v>
      </c>
      <c r="H172" s="19" t="s">
        <v>392</v>
      </c>
      <c r="I172" s="19">
        <v>18.375</v>
      </c>
      <c r="J172" s="19" t="s">
        <v>379</v>
      </c>
      <c r="K172" s="19" t="s">
        <v>18</v>
      </c>
      <c r="L172" s="19">
        <v>0</v>
      </c>
      <c r="M172" s="34">
        <f t="shared" si="15"/>
        <v>459.40671979999996</v>
      </c>
      <c r="N172" s="19">
        <v>0</v>
      </c>
      <c r="O172" s="34">
        <v>0</v>
      </c>
      <c r="P172" s="34">
        <f t="shared" si="16"/>
        <v>-459.40671979999996</v>
      </c>
      <c r="Q172" s="21">
        <f t="shared" si="17"/>
        <v>459.40671979999996</v>
      </c>
    </row>
    <row r="173" spans="1:17" x14ac:dyDescent="0.25">
      <c r="A173" s="18">
        <v>1780515</v>
      </c>
      <c r="B173" s="19" t="s">
        <v>1284</v>
      </c>
      <c r="C173" s="28">
        <v>378.53</v>
      </c>
      <c r="D173" s="19" t="s">
        <v>191</v>
      </c>
      <c r="E173" s="19" t="s">
        <v>14</v>
      </c>
      <c r="F173" s="19" t="s">
        <v>33</v>
      </c>
      <c r="G173" s="19" t="s">
        <v>34</v>
      </c>
      <c r="H173" s="19" t="s">
        <v>392</v>
      </c>
      <c r="I173" s="19">
        <v>24.5</v>
      </c>
      <c r="J173" s="19" t="s">
        <v>379</v>
      </c>
      <c r="K173" s="19" t="s">
        <v>18</v>
      </c>
      <c r="L173" s="19">
        <v>0</v>
      </c>
      <c r="M173" s="34">
        <f t="shared" si="15"/>
        <v>459.40671979999996</v>
      </c>
      <c r="N173" s="19">
        <v>0</v>
      </c>
      <c r="O173" s="34">
        <v>0</v>
      </c>
      <c r="P173" s="34">
        <f t="shared" si="16"/>
        <v>-459.40671979999996</v>
      </c>
      <c r="Q173" s="21">
        <f t="shared" si="17"/>
        <v>459.40671979999996</v>
      </c>
    </row>
    <row r="174" spans="1:17" x14ac:dyDescent="0.25">
      <c r="A174" s="18">
        <v>1767720</v>
      </c>
      <c r="B174" s="19" t="s">
        <v>1285</v>
      </c>
      <c r="C174" s="28">
        <v>454.23</v>
      </c>
      <c r="D174" s="19" t="s">
        <v>191</v>
      </c>
      <c r="E174" s="19" t="s">
        <v>14</v>
      </c>
      <c r="F174" s="19" t="s">
        <v>33</v>
      </c>
      <c r="G174" s="19" t="s">
        <v>34</v>
      </c>
      <c r="H174" s="19" t="s">
        <v>392</v>
      </c>
      <c r="I174" s="19">
        <v>22.05</v>
      </c>
      <c r="J174" s="19" t="s">
        <v>379</v>
      </c>
      <c r="K174" s="19" t="s">
        <v>18</v>
      </c>
      <c r="L174" s="19">
        <v>0</v>
      </c>
      <c r="M174" s="34">
        <f t="shared" si="15"/>
        <v>551.2807818</v>
      </c>
      <c r="N174" s="19">
        <v>0</v>
      </c>
      <c r="O174" s="34">
        <v>0</v>
      </c>
      <c r="P174" s="34">
        <f t="shared" si="16"/>
        <v>-551.2807818</v>
      </c>
      <c r="Q174" s="21">
        <f t="shared" si="17"/>
        <v>551.2807818</v>
      </c>
    </row>
    <row r="175" spans="1:17" x14ac:dyDescent="0.25">
      <c r="A175" s="18">
        <v>1780915</v>
      </c>
      <c r="B175" s="19" t="s">
        <v>1286</v>
      </c>
      <c r="C175" s="28">
        <v>432.6</v>
      </c>
      <c r="D175" s="19" t="s">
        <v>191</v>
      </c>
      <c r="E175" s="19" t="s">
        <v>14</v>
      </c>
      <c r="F175" s="19" t="s">
        <v>33</v>
      </c>
      <c r="G175" s="19" t="s">
        <v>34</v>
      </c>
      <c r="H175" s="19" t="s">
        <v>392</v>
      </c>
      <c r="I175" s="19">
        <v>28</v>
      </c>
      <c r="J175" s="19" t="s">
        <v>379</v>
      </c>
      <c r="K175" s="19" t="s">
        <v>18</v>
      </c>
      <c r="L175" s="19">
        <v>0</v>
      </c>
      <c r="M175" s="34">
        <f t="shared" si="15"/>
        <v>525.02931599999999</v>
      </c>
      <c r="N175" s="19">
        <v>0</v>
      </c>
      <c r="O175" s="34">
        <v>0</v>
      </c>
      <c r="P175" s="34">
        <f t="shared" si="16"/>
        <v>-525.02931599999999</v>
      </c>
      <c r="Q175" s="21">
        <f t="shared" si="17"/>
        <v>525.02931599999999</v>
      </c>
    </row>
    <row r="176" spans="1:17" x14ac:dyDescent="0.25">
      <c r="A176" s="18">
        <v>1767620</v>
      </c>
      <c r="B176" s="19" t="s">
        <v>1287</v>
      </c>
      <c r="C176" s="28">
        <v>405.56</v>
      </c>
      <c r="D176" s="19" t="s">
        <v>191</v>
      </c>
      <c r="E176" s="19" t="s">
        <v>14</v>
      </c>
      <c r="F176" s="19" t="s">
        <v>33</v>
      </c>
      <c r="G176" s="19" t="s">
        <v>34</v>
      </c>
      <c r="H176" s="19" t="s">
        <v>392</v>
      </c>
      <c r="I176" s="19">
        <v>19.6875</v>
      </c>
      <c r="J176" s="19" t="s">
        <v>379</v>
      </c>
      <c r="K176" s="19" t="s">
        <v>18</v>
      </c>
      <c r="L176" s="19">
        <v>0</v>
      </c>
      <c r="M176" s="34">
        <f t="shared" si="15"/>
        <v>492.21194959999997</v>
      </c>
      <c r="N176" s="19">
        <v>0</v>
      </c>
      <c r="O176" s="34">
        <v>0</v>
      </c>
      <c r="P176" s="34">
        <f t="shared" si="16"/>
        <v>-492.21194959999997</v>
      </c>
      <c r="Q176" s="21">
        <f t="shared" si="17"/>
        <v>492.21194959999997</v>
      </c>
    </row>
    <row r="177" spans="1:17" x14ac:dyDescent="0.25">
      <c r="A177" s="18">
        <v>1770715</v>
      </c>
      <c r="B177" s="19" t="s">
        <v>1288</v>
      </c>
      <c r="C177" s="28">
        <v>811.13</v>
      </c>
      <c r="D177" s="19" t="s">
        <v>191</v>
      </c>
      <c r="E177" s="19" t="s">
        <v>14</v>
      </c>
      <c r="F177" s="19" t="s">
        <v>33</v>
      </c>
      <c r="G177" s="19" t="s">
        <v>34</v>
      </c>
      <c r="H177" s="19" t="s">
        <v>392</v>
      </c>
      <c r="I177" s="19">
        <v>52.5</v>
      </c>
      <c r="J177" s="19" t="s">
        <v>379</v>
      </c>
      <c r="K177" s="19" t="s">
        <v>18</v>
      </c>
      <c r="L177" s="19">
        <v>0</v>
      </c>
      <c r="M177" s="34">
        <f t="shared" si="15"/>
        <v>984.43603580000001</v>
      </c>
      <c r="N177" s="19">
        <v>0</v>
      </c>
      <c r="O177" s="34">
        <v>0</v>
      </c>
      <c r="P177" s="34">
        <f t="shared" si="16"/>
        <v>-984.43603580000001</v>
      </c>
      <c r="Q177" s="21">
        <f t="shared" si="17"/>
        <v>984.43603580000001</v>
      </c>
    </row>
    <row r="178" spans="1:17" x14ac:dyDescent="0.25">
      <c r="A178" s="18">
        <v>1774415</v>
      </c>
      <c r="B178" s="19" t="s">
        <v>1289</v>
      </c>
      <c r="C178" s="28">
        <v>324.45</v>
      </c>
      <c r="D178" s="19" t="s">
        <v>191</v>
      </c>
      <c r="E178" s="19" t="s">
        <v>14</v>
      </c>
      <c r="F178" s="19" t="s">
        <v>33</v>
      </c>
      <c r="G178" s="19" t="s">
        <v>34</v>
      </c>
      <c r="H178" s="19" t="s">
        <v>392</v>
      </c>
      <c r="I178" s="19">
        <v>21</v>
      </c>
      <c r="J178" s="19" t="s">
        <v>379</v>
      </c>
      <c r="K178" s="19" t="s">
        <v>18</v>
      </c>
      <c r="L178" s="19">
        <v>0</v>
      </c>
      <c r="M178" s="34">
        <f t="shared" si="15"/>
        <v>393.77198699999997</v>
      </c>
      <c r="N178" s="19">
        <v>0</v>
      </c>
      <c r="O178" s="34">
        <v>0</v>
      </c>
      <c r="P178" s="34">
        <f t="shared" si="16"/>
        <v>-393.77198699999997</v>
      </c>
      <c r="Q178" s="21">
        <f t="shared" si="17"/>
        <v>393.77198699999997</v>
      </c>
    </row>
    <row r="179" spans="1:17" x14ac:dyDescent="0.25">
      <c r="A179" s="18">
        <v>1764950</v>
      </c>
      <c r="B179" s="19" t="s">
        <v>1290</v>
      </c>
      <c r="C179" s="28">
        <v>378.53</v>
      </c>
      <c r="D179" s="19" t="s">
        <v>191</v>
      </c>
      <c r="E179" s="19" t="s">
        <v>14</v>
      </c>
      <c r="F179" s="19" t="s">
        <v>33</v>
      </c>
      <c r="G179" s="19" t="s">
        <v>34</v>
      </c>
      <c r="H179" s="19" t="s">
        <v>392</v>
      </c>
      <c r="I179" s="19">
        <v>7.35</v>
      </c>
      <c r="J179" s="19" t="s">
        <v>379</v>
      </c>
      <c r="K179" s="19" t="s">
        <v>18</v>
      </c>
      <c r="L179" s="19">
        <v>0</v>
      </c>
      <c r="M179" s="34">
        <f t="shared" si="15"/>
        <v>459.40671979999996</v>
      </c>
      <c r="N179" s="19">
        <v>0</v>
      </c>
      <c r="O179" s="34">
        <v>0</v>
      </c>
      <c r="P179" s="34">
        <f t="shared" si="16"/>
        <v>-459.40671979999996</v>
      </c>
      <c r="Q179" s="21">
        <f t="shared" si="17"/>
        <v>459.40671979999996</v>
      </c>
    </row>
    <row r="180" spans="1:17" x14ac:dyDescent="0.25">
      <c r="A180" s="18">
        <v>1765750</v>
      </c>
      <c r="B180" s="19" t="s">
        <v>1291</v>
      </c>
      <c r="C180" s="28">
        <v>465.05</v>
      </c>
      <c r="D180" s="19" t="s">
        <v>191</v>
      </c>
      <c r="E180" s="19" t="s">
        <v>14</v>
      </c>
      <c r="F180" s="19" t="s">
        <v>33</v>
      </c>
      <c r="G180" s="19" t="s">
        <v>34</v>
      </c>
      <c r="H180" s="19" t="s">
        <v>392</v>
      </c>
      <c r="I180" s="19">
        <v>9.0299999999999994</v>
      </c>
      <c r="J180" s="19" t="s">
        <v>379</v>
      </c>
      <c r="K180" s="19" t="s">
        <v>18</v>
      </c>
      <c r="L180" s="19">
        <v>0</v>
      </c>
      <c r="M180" s="34">
        <f t="shared" si="15"/>
        <v>564.41258300000004</v>
      </c>
      <c r="N180" s="19">
        <v>0</v>
      </c>
      <c r="O180" s="34">
        <v>0</v>
      </c>
      <c r="P180" s="34">
        <f t="shared" si="16"/>
        <v>-564.41258300000004</v>
      </c>
      <c r="Q180" s="21">
        <f t="shared" si="17"/>
        <v>564.41258300000004</v>
      </c>
    </row>
    <row r="181" spans="1:17" x14ac:dyDescent="0.25">
      <c r="A181" s="18">
        <v>1765925</v>
      </c>
      <c r="B181" s="19" t="s">
        <v>1292</v>
      </c>
      <c r="C181" s="28">
        <v>519.12</v>
      </c>
      <c r="D181" s="19" t="s">
        <v>191</v>
      </c>
      <c r="E181" s="19" t="s">
        <v>14</v>
      </c>
      <c r="F181" s="19" t="s">
        <v>33</v>
      </c>
      <c r="G181" s="19" t="s">
        <v>34</v>
      </c>
      <c r="H181" s="19" t="s">
        <v>392</v>
      </c>
      <c r="I181" s="19">
        <v>20.16</v>
      </c>
      <c r="J181" s="19" t="s">
        <v>379</v>
      </c>
      <c r="K181" s="19" t="s">
        <v>18</v>
      </c>
      <c r="L181" s="19">
        <v>0</v>
      </c>
      <c r="M181" s="34">
        <f t="shared" si="15"/>
        <v>630.03517920000002</v>
      </c>
      <c r="N181" s="19">
        <v>0</v>
      </c>
      <c r="O181" s="34">
        <v>0</v>
      </c>
      <c r="P181" s="34">
        <f t="shared" si="16"/>
        <v>-630.03517920000002</v>
      </c>
      <c r="Q181" s="21">
        <f t="shared" si="17"/>
        <v>630.03517920000002</v>
      </c>
    </row>
    <row r="182" spans="1:17" x14ac:dyDescent="0.25">
      <c r="A182" s="18">
        <v>1768830</v>
      </c>
      <c r="B182" s="19" t="s">
        <v>1293</v>
      </c>
      <c r="C182" s="28">
        <v>236</v>
      </c>
      <c r="D182" s="19" t="s">
        <v>191</v>
      </c>
      <c r="E182" s="19" t="s">
        <v>14</v>
      </c>
      <c r="F182" s="19" t="s">
        <v>33</v>
      </c>
      <c r="G182" s="19" t="s">
        <v>34</v>
      </c>
      <c r="H182" s="19" t="s">
        <v>180</v>
      </c>
      <c r="I182" s="19">
        <v>244.65</v>
      </c>
      <c r="J182" s="19" t="s">
        <v>383</v>
      </c>
      <c r="K182" s="19" t="s">
        <v>18</v>
      </c>
      <c r="L182" s="19">
        <v>0</v>
      </c>
      <c r="M182" s="34">
        <f t="shared" si="15"/>
        <v>286.42376000000002</v>
      </c>
      <c r="N182" s="19">
        <v>0</v>
      </c>
      <c r="O182" s="34">
        <v>0</v>
      </c>
      <c r="P182" s="34">
        <f t="shared" si="16"/>
        <v>-286.42376000000002</v>
      </c>
      <c r="Q182" s="21">
        <f t="shared" si="17"/>
        <v>286.42376000000002</v>
      </c>
    </row>
    <row r="183" spans="1:17" x14ac:dyDescent="0.25">
      <c r="A183" s="18" t="s">
        <v>403</v>
      </c>
      <c r="B183" s="19" t="s">
        <v>1294</v>
      </c>
      <c r="C183" s="28">
        <f>I183*3%+I183</f>
        <v>8.7035</v>
      </c>
      <c r="D183" s="19" t="s">
        <v>124</v>
      </c>
      <c r="E183" s="19" t="s">
        <v>14</v>
      </c>
      <c r="F183" s="19" t="s">
        <v>15</v>
      </c>
      <c r="G183" s="19" t="s">
        <v>16</v>
      </c>
      <c r="H183" s="19" t="s">
        <v>17</v>
      </c>
      <c r="I183" s="19">
        <v>8.4499999999999993</v>
      </c>
      <c r="J183" s="19" t="s">
        <v>124</v>
      </c>
      <c r="K183" s="19" t="s">
        <v>18</v>
      </c>
      <c r="L183" s="19" t="s">
        <v>403</v>
      </c>
      <c r="M183" s="34">
        <f t="shared" si="15"/>
        <v>10.563089809999999</v>
      </c>
      <c r="N183" s="19">
        <v>0</v>
      </c>
      <c r="O183" s="34">
        <v>0</v>
      </c>
      <c r="P183" s="34">
        <f t="shared" si="16"/>
        <v>-10.563089809999999</v>
      </c>
      <c r="Q183" s="21">
        <f t="shared" si="17"/>
        <v>10.563089809999999</v>
      </c>
    </row>
    <row r="184" spans="1:17" x14ac:dyDescent="0.25">
      <c r="A184" s="18" t="s">
        <v>405</v>
      </c>
      <c r="B184" s="19" t="s">
        <v>1295</v>
      </c>
      <c r="C184" s="28">
        <f t="shared" ref="C184:C191" si="20">I184*3%+I184</f>
        <v>308.22750000000002</v>
      </c>
      <c r="D184" s="19" t="s">
        <v>191</v>
      </c>
      <c r="E184" s="19" t="s">
        <v>14</v>
      </c>
      <c r="F184" s="19" t="s">
        <v>131</v>
      </c>
      <c r="G184" s="19" t="s">
        <v>132</v>
      </c>
      <c r="H184" s="19" t="s">
        <v>407</v>
      </c>
      <c r="I184" s="19">
        <v>299.25</v>
      </c>
      <c r="J184" s="19" t="s">
        <v>191</v>
      </c>
      <c r="K184" s="19" t="s">
        <v>18</v>
      </c>
      <c r="L184" s="19" t="s">
        <v>405</v>
      </c>
      <c r="M184" s="34">
        <f t="shared" si="15"/>
        <v>374.08338765000002</v>
      </c>
      <c r="N184" s="19" t="s">
        <v>405</v>
      </c>
      <c r="O184" s="34">
        <v>374.08569999999997</v>
      </c>
      <c r="P184" s="34">
        <f t="shared" si="16"/>
        <v>2.3123499999542219E-3</v>
      </c>
      <c r="Q184" s="21">
        <f t="shared" si="17"/>
        <v>374.08338765000002</v>
      </c>
    </row>
    <row r="185" spans="1:17" x14ac:dyDescent="0.25">
      <c r="A185" s="18" t="s">
        <v>408</v>
      </c>
      <c r="B185" s="19" t="s">
        <v>1296</v>
      </c>
      <c r="C185" s="28">
        <f t="shared" si="20"/>
        <v>42.034300000000002</v>
      </c>
      <c r="D185" s="19" t="s">
        <v>32</v>
      </c>
      <c r="E185" s="19" t="s">
        <v>14</v>
      </c>
      <c r="F185" s="19" t="s">
        <v>410</v>
      </c>
      <c r="G185" s="19" t="s">
        <v>411</v>
      </c>
      <c r="H185" s="19" t="s">
        <v>412</v>
      </c>
      <c r="I185" s="19">
        <v>40.81</v>
      </c>
      <c r="J185" s="19" t="s">
        <v>32</v>
      </c>
      <c r="K185" s="19" t="s">
        <v>18</v>
      </c>
      <c r="L185" s="19" t="s">
        <v>408</v>
      </c>
      <c r="M185" s="34">
        <f t="shared" si="15"/>
        <v>51.015348537999998</v>
      </c>
      <c r="N185" s="19">
        <v>0</v>
      </c>
      <c r="O185" s="34">
        <v>0</v>
      </c>
      <c r="P185" s="34">
        <f t="shared" si="16"/>
        <v>-51.015348537999998</v>
      </c>
      <c r="Q185" s="21">
        <f t="shared" si="17"/>
        <v>51.015348537999998</v>
      </c>
    </row>
    <row r="186" spans="1:17" x14ac:dyDescent="0.25">
      <c r="A186" s="18" t="s">
        <v>413</v>
      </c>
      <c r="B186" s="19" t="s">
        <v>1297</v>
      </c>
      <c r="C186" s="28">
        <f t="shared" si="20"/>
        <v>7.1070000000000002</v>
      </c>
      <c r="D186" s="19" t="s">
        <v>111</v>
      </c>
      <c r="E186" s="19" t="s">
        <v>14</v>
      </c>
      <c r="F186" s="19" t="s">
        <v>33</v>
      </c>
      <c r="G186" s="19" t="s">
        <v>34</v>
      </c>
      <c r="H186" s="19" t="s">
        <v>265</v>
      </c>
      <c r="I186" s="19">
        <v>6.9</v>
      </c>
      <c r="J186" s="19" t="s">
        <v>111</v>
      </c>
      <c r="K186" s="19" t="s">
        <v>18</v>
      </c>
      <c r="L186" s="19" t="s">
        <v>413</v>
      </c>
      <c r="M186" s="34">
        <f t="shared" si="15"/>
        <v>8.6254816200000004</v>
      </c>
      <c r="N186" s="19">
        <v>0</v>
      </c>
      <c r="O186" s="34">
        <v>0</v>
      </c>
      <c r="P186" s="34">
        <f t="shared" si="16"/>
        <v>-8.6254816200000004</v>
      </c>
      <c r="Q186" s="21">
        <f t="shared" si="17"/>
        <v>8.6254816200000004</v>
      </c>
    </row>
    <row r="187" spans="1:17" x14ac:dyDescent="0.25">
      <c r="A187" s="18" t="s">
        <v>415</v>
      </c>
      <c r="B187" s="19" t="s">
        <v>1298</v>
      </c>
      <c r="C187" s="28">
        <f t="shared" si="20"/>
        <v>27.861499999999999</v>
      </c>
      <c r="D187" s="19" t="s">
        <v>32</v>
      </c>
      <c r="E187" s="19" t="s">
        <v>14</v>
      </c>
      <c r="F187" s="19" t="s">
        <v>33</v>
      </c>
      <c r="G187" s="19" t="s">
        <v>34</v>
      </c>
      <c r="H187" s="19" t="s">
        <v>265</v>
      </c>
      <c r="I187" s="19">
        <v>27.05</v>
      </c>
      <c r="J187" s="19" t="s">
        <v>32</v>
      </c>
      <c r="K187" s="19" t="s">
        <v>18</v>
      </c>
      <c r="L187" s="19" t="s">
        <v>415</v>
      </c>
      <c r="M187" s="34">
        <f t="shared" si="15"/>
        <v>33.814388090000001</v>
      </c>
      <c r="N187" s="19">
        <v>0</v>
      </c>
      <c r="O187" s="34">
        <v>0</v>
      </c>
      <c r="P187" s="34">
        <f t="shared" si="16"/>
        <v>-33.814388090000001</v>
      </c>
      <c r="Q187" s="21">
        <f t="shared" si="17"/>
        <v>33.814388090000001</v>
      </c>
    </row>
    <row r="188" spans="1:17" x14ac:dyDescent="0.25">
      <c r="A188" s="18" t="s">
        <v>417</v>
      </c>
      <c r="B188" s="19" t="s">
        <v>1299</v>
      </c>
      <c r="C188" s="28">
        <f t="shared" si="20"/>
        <v>81.112499999999997</v>
      </c>
      <c r="D188" s="19" t="s">
        <v>242</v>
      </c>
      <c r="E188" s="19" t="s">
        <v>14</v>
      </c>
      <c r="F188" s="19" t="s">
        <v>33</v>
      </c>
      <c r="G188" s="19" t="s">
        <v>34</v>
      </c>
      <c r="H188" s="19" t="s">
        <v>231</v>
      </c>
      <c r="I188" s="19">
        <v>78.75</v>
      </c>
      <c r="J188" s="19" t="s">
        <v>242</v>
      </c>
      <c r="K188" s="19" t="s">
        <v>18</v>
      </c>
      <c r="L188" s="19" t="s">
        <v>417</v>
      </c>
      <c r="M188" s="34">
        <f t="shared" si="15"/>
        <v>98.442996749999992</v>
      </c>
      <c r="N188" s="19">
        <v>0</v>
      </c>
      <c r="O188" s="34">
        <v>0</v>
      </c>
      <c r="P188" s="34">
        <f t="shared" si="16"/>
        <v>-98.442996749999992</v>
      </c>
      <c r="Q188" s="21">
        <f t="shared" si="17"/>
        <v>98.442996749999992</v>
      </c>
    </row>
    <row r="189" spans="1:17" x14ac:dyDescent="0.25">
      <c r="A189" s="18" t="s">
        <v>419</v>
      </c>
      <c r="B189" s="19" t="s">
        <v>1300</v>
      </c>
      <c r="C189" s="28">
        <f t="shared" si="20"/>
        <v>21.63</v>
      </c>
      <c r="D189" s="19" t="s">
        <v>13</v>
      </c>
      <c r="E189" s="19" t="s">
        <v>14</v>
      </c>
      <c r="F189" s="19" t="s">
        <v>33</v>
      </c>
      <c r="G189" s="19" t="s">
        <v>34</v>
      </c>
      <c r="H189" s="19" t="s">
        <v>231</v>
      </c>
      <c r="I189" s="19">
        <v>21</v>
      </c>
      <c r="J189" s="19" t="s">
        <v>13</v>
      </c>
      <c r="K189" s="19" t="s">
        <v>18</v>
      </c>
      <c r="L189" s="19" t="s">
        <v>419</v>
      </c>
      <c r="M189" s="34">
        <f t="shared" si="15"/>
        <v>26.251465799999998</v>
      </c>
      <c r="N189" s="19">
        <v>0</v>
      </c>
      <c r="O189" s="34">
        <v>0</v>
      </c>
      <c r="P189" s="34">
        <f t="shared" si="16"/>
        <v>-26.251465799999998</v>
      </c>
      <c r="Q189" s="21">
        <f t="shared" si="17"/>
        <v>26.251465799999998</v>
      </c>
    </row>
    <row r="190" spans="1:17" x14ac:dyDescent="0.25">
      <c r="A190" s="18" t="s">
        <v>421</v>
      </c>
      <c r="B190" s="19" t="s">
        <v>1301</v>
      </c>
      <c r="C190" s="28">
        <f t="shared" si="20"/>
        <v>59.74</v>
      </c>
      <c r="D190" s="19" t="s">
        <v>118</v>
      </c>
      <c r="E190" s="19" t="s">
        <v>14</v>
      </c>
      <c r="F190" s="19" t="s">
        <v>131</v>
      </c>
      <c r="G190" s="19" t="s">
        <v>132</v>
      </c>
      <c r="H190" s="19" t="s">
        <v>423</v>
      </c>
      <c r="I190" s="19">
        <v>58</v>
      </c>
      <c r="J190" s="19" t="s">
        <v>118</v>
      </c>
      <c r="K190" s="19" t="s">
        <v>18</v>
      </c>
      <c r="L190" s="19" t="s">
        <v>421</v>
      </c>
      <c r="M190" s="34">
        <f t="shared" si="15"/>
        <v>72.504048400000002</v>
      </c>
      <c r="N190" s="19" t="s">
        <v>421</v>
      </c>
      <c r="O190" s="34">
        <v>46.762</v>
      </c>
      <c r="P190" s="34">
        <f t="shared" si="16"/>
        <v>-25.742048400000002</v>
      </c>
      <c r="Q190" s="21">
        <f t="shared" si="17"/>
        <v>72.504048400000002</v>
      </c>
    </row>
    <row r="191" spans="1:17" x14ac:dyDescent="0.25">
      <c r="A191" s="18" t="s">
        <v>424</v>
      </c>
      <c r="B191" s="19" t="s">
        <v>1302</v>
      </c>
      <c r="C191" s="28">
        <f t="shared" si="20"/>
        <v>193.64</v>
      </c>
      <c r="D191" s="19" t="s">
        <v>118</v>
      </c>
      <c r="E191" s="19" t="s">
        <v>14</v>
      </c>
      <c r="F191" s="19" t="s">
        <v>131</v>
      </c>
      <c r="G191" s="19" t="s">
        <v>132</v>
      </c>
      <c r="H191" s="19" t="s">
        <v>423</v>
      </c>
      <c r="I191" s="19">
        <v>188</v>
      </c>
      <c r="J191" s="19" t="s">
        <v>118</v>
      </c>
      <c r="K191" s="19" t="s">
        <v>18</v>
      </c>
      <c r="L191" s="19" t="s">
        <v>424</v>
      </c>
      <c r="M191" s="34">
        <f t="shared" si="15"/>
        <v>235.01312239999999</v>
      </c>
      <c r="N191" s="19">
        <v>0</v>
      </c>
      <c r="O191" s="34">
        <v>0</v>
      </c>
      <c r="P191" s="34">
        <f t="shared" si="16"/>
        <v>-235.01312239999999</v>
      </c>
      <c r="Q191" s="21">
        <f t="shared" si="17"/>
        <v>235.01312239999999</v>
      </c>
    </row>
    <row r="192" spans="1:17" x14ac:dyDescent="0.25">
      <c r="A192" s="18" t="s">
        <v>426</v>
      </c>
      <c r="B192" s="19" t="s">
        <v>1303</v>
      </c>
      <c r="C192" s="28">
        <v>450</v>
      </c>
      <c r="D192" s="19" t="s">
        <v>13</v>
      </c>
      <c r="E192" s="19" t="s">
        <v>14</v>
      </c>
      <c r="F192" s="19" t="s">
        <v>33</v>
      </c>
      <c r="G192" s="19" t="s">
        <v>34</v>
      </c>
      <c r="H192" s="19" t="s">
        <v>115</v>
      </c>
      <c r="I192" s="19">
        <v>420</v>
      </c>
      <c r="J192" s="19" t="s">
        <v>13</v>
      </c>
      <c r="K192" s="19" t="s">
        <v>18</v>
      </c>
      <c r="L192" s="19" t="s">
        <v>426</v>
      </c>
      <c r="M192" s="34">
        <f t="shared" si="15"/>
        <v>546.14699999999993</v>
      </c>
      <c r="N192" s="19">
        <v>0</v>
      </c>
      <c r="O192" s="34">
        <v>0</v>
      </c>
      <c r="P192" s="34">
        <f t="shared" si="16"/>
        <v>-546.14699999999993</v>
      </c>
      <c r="Q192" s="21">
        <f t="shared" si="17"/>
        <v>546.14699999999993</v>
      </c>
    </row>
    <row r="193" spans="1:17" x14ac:dyDescent="0.25">
      <c r="A193" s="18" t="s">
        <v>428</v>
      </c>
      <c r="B193" s="19" t="s">
        <v>1304</v>
      </c>
      <c r="C193" s="28">
        <v>15</v>
      </c>
      <c r="D193" s="19" t="s">
        <v>32</v>
      </c>
      <c r="E193" s="19" t="s">
        <v>14</v>
      </c>
      <c r="F193" s="19" t="s">
        <v>33</v>
      </c>
      <c r="G193" s="19" t="s">
        <v>34</v>
      </c>
      <c r="H193" s="19" t="s">
        <v>430</v>
      </c>
      <c r="I193" s="19">
        <v>4.3620000000000001</v>
      </c>
      <c r="J193" s="19" t="s">
        <v>331</v>
      </c>
      <c r="K193" s="19" t="s">
        <v>18</v>
      </c>
      <c r="L193" s="19">
        <v>0</v>
      </c>
      <c r="M193" s="34">
        <f t="shared" si="15"/>
        <v>18.204899999999999</v>
      </c>
      <c r="N193" s="19">
        <v>0</v>
      </c>
      <c r="O193" s="34">
        <v>0</v>
      </c>
      <c r="P193" s="34">
        <f t="shared" si="16"/>
        <v>-18.204899999999999</v>
      </c>
      <c r="Q193" s="21">
        <f t="shared" si="17"/>
        <v>18.204899999999999</v>
      </c>
    </row>
    <row r="194" spans="1:17" x14ac:dyDescent="0.25">
      <c r="A194" s="18" t="s">
        <v>431</v>
      </c>
      <c r="B194" s="19" t="s">
        <v>1305</v>
      </c>
      <c r="C194" s="28">
        <f>I194*3%+I194</f>
        <v>84.748400000000004</v>
      </c>
      <c r="D194" s="19" t="s">
        <v>13</v>
      </c>
      <c r="E194" s="19" t="s">
        <v>14</v>
      </c>
      <c r="F194" s="19" t="s">
        <v>44</v>
      </c>
      <c r="G194" s="19" t="s">
        <v>45</v>
      </c>
      <c r="H194" s="19" t="s">
        <v>23</v>
      </c>
      <c r="I194" s="19">
        <v>82.28</v>
      </c>
      <c r="J194" s="19" t="s">
        <v>13</v>
      </c>
      <c r="K194" s="19" t="s">
        <v>18</v>
      </c>
      <c r="L194" s="19" t="s">
        <v>431</v>
      </c>
      <c r="M194" s="34">
        <f t="shared" si="15"/>
        <v>102.855743144</v>
      </c>
      <c r="N194" s="19">
        <v>0</v>
      </c>
      <c r="O194" s="34">
        <v>0</v>
      </c>
      <c r="P194" s="34">
        <f t="shared" si="16"/>
        <v>-102.855743144</v>
      </c>
      <c r="Q194" s="21">
        <f t="shared" si="17"/>
        <v>102.855743144</v>
      </c>
    </row>
    <row r="195" spans="1:17" x14ac:dyDescent="0.25">
      <c r="A195" s="18" t="s">
        <v>433</v>
      </c>
      <c r="B195" s="19" t="s">
        <v>1306</v>
      </c>
      <c r="C195" s="28">
        <f t="shared" ref="C195:C211" si="21">I195*3%+I195</f>
        <v>57.134099999999997</v>
      </c>
      <c r="D195" s="19" t="s">
        <v>118</v>
      </c>
      <c r="E195" s="19" t="s">
        <v>14</v>
      </c>
      <c r="F195" s="19" t="s">
        <v>131</v>
      </c>
      <c r="G195" s="19" t="s">
        <v>132</v>
      </c>
      <c r="H195" s="19" t="s">
        <v>435</v>
      </c>
      <c r="I195" s="19">
        <v>55.47</v>
      </c>
      <c r="J195" s="19" t="s">
        <v>118</v>
      </c>
      <c r="K195" s="19" t="s">
        <v>18</v>
      </c>
      <c r="L195" s="19" t="s">
        <v>433</v>
      </c>
      <c r="M195" s="34">
        <f t="shared" si="15"/>
        <v>69.341371805999998</v>
      </c>
      <c r="N195" s="19" t="s">
        <v>433</v>
      </c>
      <c r="O195" s="34">
        <v>69.339600000000004</v>
      </c>
      <c r="P195" s="34">
        <f t="shared" si="16"/>
        <v>-1.7718059999936031E-3</v>
      </c>
      <c r="Q195" s="21">
        <f t="shared" si="17"/>
        <v>69.341371805999998</v>
      </c>
    </row>
    <row r="196" spans="1:17" x14ac:dyDescent="0.25">
      <c r="A196" s="18" t="s">
        <v>436</v>
      </c>
      <c r="B196" s="19" t="s">
        <v>1307</v>
      </c>
      <c r="C196" s="28">
        <f t="shared" si="21"/>
        <v>232.52250000000001</v>
      </c>
      <c r="D196" s="19" t="s">
        <v>111</v>
      </c>
      <c r="E196" s="19" t="s">
        <v>14</v>
      </c>
      <c r="F196" s="19" t="s">
        <v>131</v>
      </c>
      <c r="G196" s="19" t="s">
        <v>132</v>
      </c>
      <c r="H196" s="19" t="s">
        <v>435</v>
      </c>
      <c r="I196" s="19">
        <v>225.75</v>
      </c>
      <c r="J196" s="19" t="s">
        <v>111</v>
      </c>
      <c r="K196" s="19" t="s">
        <v>18</v>
      </c>
      <c r="L196" s="19" t="s">
        <v>436</v>
      </c>
      <c r="M196" s="34">
        <f t="shared" ref="M196:M259" si="22">C196*1.21366</f>
        <v>282.20325735</v>
      </c>
      <c r="N196" s="19" t="s">
        <v>436</v>
      </c>
      <c r="O196" s="34">
        <v>282.19940000000003</v>
      </c>
      <c r="P196" s="34">
        <f t="shared" ref="P196:P259" si="23">O196-M196</f>
        <v>-3.8573499999756677E-3</v>
      </c>
      <c r="Q196" s="21">
        <f t="shared" ref="Q196:Q217" si="24">C196*1.21366</f>
        <v>282.20325735</v>
      </c>
    </row>
    <row r="197" spans="1:17" x14ac:dyDescent="0.25">
      <c r="A197" s="18" t="s">
        <v>438</v>
      </c>
      <c r="B197" s="19" t="s">
        <v>1308</v>
      </c>
      <c r="C197" s="28">
        <f t="shared" si="21"/>
        <v>45.711400000000005</v>
      </c>
      <c r="D197" s="19" t="s">
        <v>118</v>
      </c>
      <c r="E197" s="19" t="s">
        <v>14</v>
      </c>
      <c r="F197" s="19" t="s">
        <v>131</v>
      </c>
      <c r="G197" s="19" t="s">
        <v>132</v>
      </c>
      <c r="H197" s="19" t="s">
        <v>435</v>
      </c>
      <c r="I197" s="19">
        <v>44.38</v>
      </c>
      <c r="J197" s="19" t="s">
        <v>118</v>
      </c>
      <c r="K197" s="19" t="s">
        <v>18</v>
      </c>
      <c r="L197" s="19" t="s">
        <v>438</v>
      </c>
      <c r="M197" s="34">
        <f t="shared" si="22"/>
        <v>55.478097724000001</v>
      </c>
      <c r="N197" s="19" t="s">
        <v>438</v>
      </c>
      <c r="O197" s="34">
        <v>55.4758</v>
      </c>
      <c r="P197" s="34">
        <f t="shared" si="23"/>
        <v>-2.2977240000017218E-3</v>
      </c>
      <c r="Q197" s="21">
        <f t="shared" si="24"/>
        <v>55.478097724000001</v>
      </c>
    </row>
    <row r="198" spans="1:17" x14ac:dyDescent="0.25">
      <c r="A198" s="18" t="s">
        <v>440</v>
      </c>
      <c r="B198" s="19" t="s">
        <v>1309</v>
      </c>
      <c r="C198" s="28">
        <f t="shared" si="21"/>
        <v>38.933999999999997</v>
      </c>
      <c r="D198" s="19" t="s">
        <v>118</v>
      </c>
      <c r="E198" s="19" t="s">
        <v>14</v>
      </c>
      <c r="F198" s="19" t="s">
        <v>131</v>
      </c>
      <c r="G198" s="19" t="s">
        <v>132</v>
      </c>
      <c r="H198" s="19" t="s">
        <v>435</v>
      </c>
      <c r="I198" s="19">
        <v>37.799999999999997</v>
      </c>
      <c r="J198" s="19" t="s">
        <v>118</v>
      </c>
      <c r="K198" s="19" t="s">
        <v>18</v>
      </c>
      <c r="L198" s="19" t="s">
        <v>440</v>
      </c>
      <c r="M198" s="34">
        <f t="shared" si="22"/>
        <v>47.252638439999998</v>
      </c>
      <c r="N198" s="19" t="s">
        <v>440</v>
      </c>
      <c r="O198" s="34">
        <v>47.256399999999999</v>
      </c>
      <c r="P198" s="34">
        <f t="shared" si="23"/>
        <v>3.7615600000009408E-3</v>
      </c>
      <c r="Q198" s="21">
        <f t="shared" si="24"/>
        <v>47.252638439999998</v>
      </c>
    </row>
    <row r="199" spans="1:17" x14ac:dyDescent="0.25">
      <c r="A199" s="18" t="s">
        <v>442</v>
      </c>
      <c r="B199" s="19" t="s">
        <v>1310</v>
      </c>
      <c r="C199" s="28">
        <f t="shared" si="21"/>
        <v>43.26</v>
      </c>
      <c r="D199" s="19" t="s">
        <v>118</v>
      </c>
      <c r="E199" s="19" t="s">
        <v>14</v>
      </c>
      <c r="F199" s="19" t="s">
        <v>119</v>
      </c>
      <c r="G199" s="19" t="s">
        <v>120</v>
      </c>
      <c r="H199" s="19" t="s">
        <v>23</v>
      </c>
      <c r="I199" s="19">
        <v>42</v>
      </c>
      <c r="J199" s="19" t="s">
        <v>118</v>
      </c>
      <c r="K199" s="19" t="s">
        <v>18</v>
      </c>
      <c r="L199" s="19" t="s">
        <v>442</v>
      </c>
      <c r="M199" s="34">
        <f t="shared" si="22"/>
        <v>52.502931599999997</v>
      </c>
      <c r="N199" s="19">
        <v>0</v>
      </c>
      <c r="O199" s="34">
        <v>0</v>
      </c>
      <c r="P199" s="34">
        <f t="shared" si="23"/>
        <v>-52.502931599999997</v>
      </c>
      <c r="Q199" s="21">
        <f t="shared" si="24"/>
        <v>52.502931599999997</v>
      </c>
    </row>
    <row r="200" spans="1:17" x14ac:dyDescent="0.25">
      <c r="A200" s="18" t="s">
        <v>444</v>
      </c>
      <c r="B200" s="19" t="s">
        <v>1311</v>
      </c>
      <c r="C200" s="28">
        <f t="shared" si="21"/>
        <v>472.20349999999996</v>
      </c>
      <c r="D200" s="19" t="s">
        <v>13</v>
      </c>
      <c r="E200" s="19" t="s">
        <v>14</v>
      </c>
      <c r="F200" s="19" t="s">
        <v>33</v>
      </c>
      <c r="G200" s="19" t="s">
        <v>34</v>
      </c>
      <c r="H200" s="19" t="s">
        <v>231</v>
      </c>
      <c r="I200" s="19">
        <v>458.45</v>
      </c>
      <c r="J200" s="19" t="s">
        <v>13</v>
      </c>
      <c r="K200" s="19" t="s">
        <v>18</v>
      </c>
      <c r="L200" s="19" t="s">
        <v>444</v>
      </c>
      <c r="M200" s="34">
        <f t="shared" si="22"/>
        <v>573.09449980999989</v>
      </c>
      <c r="N200" s="19">
        <v>0</v>
      </c>
      <c r="O200" s="34">
        <v>0</v>
      </c>
      <c r="P200" s="34">
        <f t="shared" si="23"/>
        <v>-573.09449980999989</v>
      </c>
      <c r="Q200" s="21">
        <f t="shared" si="24"/>
        <v>573.09449980999989</v>
      </c>
    </row>
    <row r="201" spans="1:17" x14ac:dyDescent="0.25">
      <c r="A201" s="18" t="s">
        <v>446</v>
      </c>
      <c r="B201" s="19" t="s">
        <v>1312</v>
      </c>
      <c r="C201" s="28">
        <f t="shared" si="21"/>
        <v>0</v>
      </c>
      <c r="D201" s="19" t="s">
        <v>13</v>
      </c>
      <c r="E201" s="19" t="s">
        <v>23</v>
      </c>
      <c r="F201" s="19" t="s">
        <v>49</v>
      </c>
      <c r="G201" s="19" t="s">
        <v>50</v>
      </c>
      <c r="H201" s="19" t="s">
        <v>50</v>
      </c>
      <c r="I201" s="19"/>
      <c r="J201" s="19" t="s">
        <v>13</v>
      </c>
      <c r="K201" s="19" t="s">
        <v>18</v>
      </c>
      <c r="L201" s="19">
        <v>0</v>
      </c>
      <c r="M201" s="34">
        <f t="shared" si="22"/>
        <v>0</v>
      </c>
      <c r="N201" s="19">
        <v>0</v>
      </c>
      <c r="O201" s="34">
        <v>0</v>
      </c>
      <c r="P201" s="34">
        <f t="shared" si="23"/>
        <v>0</v>
      </c>
      <c r="Q201" s="21">
        <f t="shared" si="24"/>
        <v>0</v>
      </c>
    </row>
    <row r="202" spans="1:17" x14ac:dyDescent="0.25">
      <c r="A202" s="18" t="s">
        <v>448</v>
      </c>
      <c r="B202" s="19" t="s">
        <v>1313</v>
      </c>
      <c r="C202" s="28">
        <f t="shared" si="21"/>
        <v>0</v>
      </c>
      <c r="D202" s="19" t="s">
        <v>13</v>
      </c>
      <c r="E202" s="19" t="s">
        <v>23</v>
      </c>
      <c r="F202" s="19" t="s">
        <v>49</v>
      </c>
      <c r="G202" s="19" t="s">
        <v>50</v>
      </c>
      <c r="H202" s="19" t="s">
        <v>50</v>
      </c>
      <c r="I202" s="19"/>
      <c r="J202" s="19" t="s">
        <v>13</v>
      </c>
      <c r="K202" s="19" t="s">
        <v>18</v>
      </c>
      <c r="L202" s="19">
        <v>0</v>
      </c>
      <c r="M202" s="34">
        <f t="shared" si="22"/>
        <v>0</v>
      </c>
      <c r="N202" s="19">
        <v>0</v>
      </c>
      <c r="O202" s="34">
        <v>0</v>
      </c>
      <c r="P202" s="34">
        <f t="shared" si="23"/>
        <v>0</v>
      </c>
      <c r="Q202" s="21">
        <f t="shared" si="24"/>
        <v>0</v>
      </c>
    </row>
    <row r="203" spans="1:17" x14ac:dyDescent="0.25">
      <c r="A203" s="18" t="s">
        <v>450</v>
      </c>
      <c r="B203" s="19" t="s">
        <v>1314</v>
      </c>
      <c r="C203" s="28">
        <f t="shared" si="21"/>
        <v>28.84</v>
      </c>
      <c r="D203" s="19" t="s">
        <v>13</v>
      </c>
      <c r="E203" s="19" t="s">
        <v>14</v>
      </c>
      <c r="F203" s="19" t="s">
        <v>44</v>
      </c>
      <c r="G203" s="19" t="s">
        <v>45</v>
      </c>
      <c r="H203" s="19" t="s">
        <v>23</v>
      </c>
      <c r="I203" s="19">
        <v>28</v>
      </c>
      <c r="J203" s="19" t="s">
        <v>13</v>
      </c>
      <c r="K203" s="19" t="s">
        <v>18</v>
      </c>
      <c r="L203" s="19" t="s">
        <v>450</v>
      </c>
      <c r="M203" s="34">
        <f t="shared" si="22"/>
        <v>35.001954399999995</v>
      </c>
      <c r="N203" s="19">
        <v>0</v>
      </c>
      <c r="O203" s="34">
        <v>0</v>
      </c>
      <c r="P203" s="34">
        <f t="shared" si="23"/>
        <v>-35.001954399999995</v>
      </c>
      <c r="Q203" s="21">
        <f t="shared" si="24"/>
        <v>35.001954399999995</v>
      </c>
    </row>
    <row r="204" spans="1:17" x14ac:dyDescent="0.25">
      <c r="A204" s="18" t="s">
        <v>452</v>
      </c>
      <c r="B204" s="19" t="s">
        <v>1315</v>
      </c>
      <c r="C204" s="28">
        <f t="shared" si="21"/>
        <v>23.793000000000003</v>
      </c>
      <c r="D204" s="19" t="s">
        <v>13</v>
      </c>
      <c r="E204" s="19" t="s">
        <v>14</v>
      </c>
      <c r="F204" s="19" t="s">
        <v>44</v>
      </c>
      <c r="G204" s="19" t="s">
        <v>45</v>
      </c>
      <c r="H204" s="19" t="s">
        <v>23</v>
      </c>
      <c r="I204" s="19">
        <v>23.1</v>
      </c>
      <c r="J204" s="19" t="s">
        <v>13</v>
      </c>
      <c r="K204" s="19" t="s">
        <v>18</v>
      </c>
      <c r="L204" s="19" t="s">
        <v>452</v>
      </c>
      <c r="M204" s="34">
        <f t="shared" si="22"/>
        <v>28.876612380000001</v>
      </c>
      <c r="N204" s="19">
        <v>0</v>
      </c>
      <c r="O204" s="34">
        <v>0</v>
      </c>
      <c r="P204" s="34">
        <f t="shared" si="23"/>
        <v>-28.876612380000001</v>
      </c>
      <c r="Q204" s="21">
        <f t="shared" si="24"/>
        <v>28.876612380000001</v>
      </c>
    </row>
    <row r="205" spans="1:17" x14ac:dyDescent="0.25">
      <c r="A205" s="18" t="s">
        <v>454</v>
      </c>
      <c r="B205" s="19" t="s">
        <v>1316</v>
      </c>
      <c r="C205" s="28">
        <f t="shared" si="21"/>
        <v>35.771899999999995</v>
      </c>
      <c r="D205" s="19" t="s">
        <v>13</v>
      </c>
      <c r="E205" s="19" t="s">
        <v>14</v>
      </c>
      <c r="F205" s="19" t="s">
        <v>44</v>
      </c>
      <c r="G205" s="19" t="s">
        <v>45</v>
      </c>
      <c r="H205" s="19" t="s">
        <v>23</v>
      </c>
      <c r="I205" s="19">
        <v>34.729999999999997</v>
      </c>
      <c r="J205" s="19" t="s">
        <v>13</v>
      </c>
      <c r="K205" s="19" t="s">
        <v>18</v>
      </c>
      <c r="L205" s="19" t="s">
        <v>454</v>
      </c>
      <c r="M205" s="34">
        <f t="shared" si="22"/>
        <v>43.414924153999991</v>
      </c>
      <c r="N205" s="19">
        <v>0</v>
      </c>
      <c r="O205" s="34">
        <v>0</v>
      </c>
      <c r="P205" s="34">
        <f t="shared" si="23"/>
        <v>-43.414924153999991</v>
      </c>
      <c r="Q205" s="21">
        <f t="shared" si="24"/>
        <v>43.414924153999991</v>
      </c>
    </row>
    <row r="206" spans="1:17" x14ac:dyDescent="0.25">
      <c r="A206" s="18" t="s">
        <v>456</v>
      </c>
      <c r="B206" s="19" t="s">
        <v>1317</v>
      </c>
      <c r="C206" s="28">
        <f t="shared" si="21"/>
        <v>35.854300000000002</v>
      </c>
      <c r="D206" s="19" t="s">
        <v>13</v>
      </c>
      <c r="E206" s="19" t="s">
        <v>14</v>
      </c>
      <c r="F206" s="19" t="s">
        <v>44</v>
      </c>
      <c r="G206" s="19" t="s">
        <v>45</v>
      </c>
      <c r="H206" s="19" t="s">
        <v>23</v>
      </c>
      <c r="I206" s="19">
        <v>34.81</v>
      </c>
      <c r="J206" s="19" t="s">
        <v>13</v>
      </c>
      <c r="K206" s="19" t="s">
        <v>18</v>
      </c>
      <c r="L206" s="19" t="s">
        <v>456</v>
      </c>
      <c r="M206" s="34">
        <f t="shared" si="22"/>
        <v>43.514929737999999</v>
      </c>
      <c r="N206" s="19">
        <v>0</v>
      </c>
      <c r="O206" s="34">
        <v>0</v>
      </c>
      <c r="P206" s="34">
        <f t="shared" si="23"/>
        <v>-43.514929737999999</v>
      </c>
      <c r="Q206" s="21">
        <f t="shared" si="24"/>
        <v>43.514929737999999</v>
      </c>
    </row>
    <row r="207" spans="1:17" x14ac:dyDescent="0.25">
      <c r="A207" s="18">
        <v>7974010</v>
      </c>
      <c r="B207" s="19" t="s">
        <v>1318</v>
      </c>
      <c r="C207" s="28">
        <f t="shared" si="21"/>
        <v>75.704999999999998</v>
      </c>
      <c r="D207" s="19" t="s">
        <v>13</v>
      </c>
      <c r="E207" s="19" t="s">
        <v>14</v>
      </c>
      <c r="F207" s="19" t="s">
        <v>33</v>
      </c>
      <c r="G207" s="19" t="s">
        <v>34</v>
      </c>
      <c r="H207" s="19" t="s">
        <v>270</v>
      </c>
      <c r="I207" s="19">
        <v>73.5</v>
      </c>
      <c r="J207" s="19" t="s">
        <v>383</v>
      </c>
      <c r="K207" s="19" t="s">
        <v>18</v>
      </c>
      <c r="L207" s="19">
        <v>0</v>
      </c>
      <c r="M207" s="34">
        <f t="shared" si="22"/>
        <v>91.88013029999999</v>
      </c>
      <c r="N207" s="19">
        <v>0</v>
      </c>
      <c r="O207" s="34">
        <v>0</v>
      </c>
      <c r="P207" s="34">
        <f t="shared" si="23"/>
        <v>-91.88013029999999</v>
      </c>
      <c r="Q207" s="21">
        <f t="shared" si="24"/>
        <v>91.88013029999999</v>
      </c>
    </row>
    <row r="208" spans="1:17" x14ac:dyDescent="0.25">
      <c r="A208" s="18">
        <v>7972010</v>
      </c>
      <c r="B208" s="19" t="s">
        <v>1319</v>
      </c>
      <c r="C208" s="28">
        <f t="shared" si="21"/>
        <v>7.0215100000000001</v>
      </c>
      <c r="D208" s="30" t="s">
        <v>191</v>
      </c>
      <c r="E208" s="30" t="s">
        <v>14</v>
      </c>
      <c r="F208" s="30" t="s">
        <v>33</v>
      </c>
      <c r="G208" s="30" t="s">
        <v>34</v>
      </c>
      <c r="H208" s="30" t="s">
        <v>270</v>
      </c>
      <c r="I208" s="30">
        <v>6.8170000000000002</v>
      </c>
      <c r="J208" s="30" t="s">
        <v>379</v>
      </c>
      <c r="K208" s="30" t="s">
        <v>18</v>
      </c>
      <c r="L208" s="19">
        <v>0</v>
      </c>
      <c r="M208" s="34">
        <f t="shared" si="22"/>
        <v>8.5217258265999991</v>
      </c>
      <c r="N208" s="19">
        <v>0</v>
      </c>
      <c r="O208" s="34">
        <v>0</v>
      </c>
      <c r="P208" s="34">
        <f t="shared" si="23"/>
        <v>-8.5217258265999991</v>
      </c>
      <c r="Q208" s="21">
        <f t="shared" si="24"/>
        <v>8.5217258265999991</v>
      </c>
    </row>
    <row r="209" spans="1:17" x14ac:dyDescent="0.25">
      <c r="A209" s="18">
        <v>7972030</v>
      </c>
      <c r="B209" s="19" t="s">
        <v>1320</v>
      </c>
      <c r="C209" s="28">
        <f t="shared" si="21"/>
        <v>5.9633703999999996</v>
      </c>
      <c r="D209" s="30" t="s">
        <v>191</v>
      </c>
      <c r="E209" s="30" t="s">
        <v>14</v>
      </c>
      <c r="F209" s="30" t="s">
        <v>33</v>
      </c>
      <c r="G209" s="30" t="s">
        <v>34</v>
      </c>
      <c r="H209" s="30" t="s">
        <v>270</v>
      </c>
      <c r="I209" s="30">
        <v>5.7896799999999997</v>
      </c>
      <c r="J209" s="30" t="s">
        <v>379</v>
      </c>
      <c r="K209" s="30" t="s">
        <v>18</v>
      </c>
      <c r="L209" s="19">
        <v>0</v>
      </c>
      <c r="M209" s="34">
        <f t="shared" si="22"/>
        <v>7.2375041196639991</v>
      </c>
      <c r="N209" s="19">
        <v>0</v>
      </c>
      <c r="O209" s="34">
        <v>0</v>
      </c>
      <c r="P209" s="34">
        <f t="shared" si="23"/>
        <v>-7.2375041196639991</v>
      </c>
      <c r="Q209" s="21">
        <f t="shared" si="24"/>
        <v>7.2375041196639991</v>
      </c>
    </row>
    <row r="210" spans="1:17" x14ac:dyDescent="0.25">
      <c r="A210" s="18">
        <v>7974110</v>
      </c>
      <c r="B210" s="19" t="s">
        <v>1321</v>
      </c>
      <c r="C210" s="28">
        <f t="shared" si="21"/>
        <v>75.704999999999998</v>
      </c>
      <c r="D210" s="19" t="s">
        <v>13</v>
      </c>
      <c r="E210" s="19" t="s">
        <v>14</v>
      </c>
      <c r="F210" s="19" t="s">
        <v>33</v>
      </c>
      <c r="G210" s="19" t="s">
        <v>34</v>
      </c>
      <c r="H210" s="19" t="s">
        <v>270</v>
      </c>
      <c r="I210" s="19">
        <v>73.5</v>
      </c>
      <c r="J210" s="19" t="s">
        <v>383</v>
      </c>
      <c r="K210" s="19" t="s">
        <v>18</v>
      </c>
      <c r="L210" s="19">
        <v>0</v>
      </c>
      <c r="M210" s="34">
        <f t="shared" si="22"/>
        <v>91.88013029999999</v>
      </c>
      <c r="N210" s="19">
        <v>0</v>
      </c>
      <c r="O210" s="34">
        <v>0</v>
      </c>
      <c r="P210" s="34">
        <f t="shared" si="23"/>
        <v>-91.88013029999999</v>
      </c>
      <c r="Q210" s="21">
        <f t="shared" si="24"/>
        <v>91.88013029999999</v>
      </c>
    </row>
    <row r="211" spans="1:17" x14ac:dyDescent="0.25">
      <c r="A211" s="18">
        <v>795950</v>
      </c>
      <c r="B211" s="19" t="s">
        <v>1322</v>
      </c>
      <c r="C211" s="28">
        <f t="shared" si="21"/>
        <v>9.8623014999999992</v>
      </c>
      <c r="D211" s="30" t="s">
        <v>13</v>
      </c>
      <c r="E211" s="30" t="s">
        <v>14</v>
      </c>
      <c r="F211" s="30" t="s">
        <v>33</v>
      </c>
      <c r="G211" s="30" t="s">
        <v>34</v>
      </c>
      <c r="H211" s="30" t="s">
        <v>270</v>
      </c>
      <c r="I211" s="30">
        <v>9.5750499999999992</v>
      </c>
      <c r="J211" s="30" t="s">
        <v>13</v>
      </c>
      <c r="K211" s="30" t="s">
        <v>18</v>
      </c>
      <c r="L211" s="19">
        <v>0</v>
      </c>
      <c r="M211" s="34">
        <f t="shared" si="22"/>
        <v>11.969480838489998</v>
      </c>
      <c r="N211" s="19">
        <v>0</v>
      </c>
      <c r="O211" s="34">
        <v>0</v>
      </c>
      <c r="P211" s="34">
        <f t="shared" si="23"/>
        <v>-11.969480838489998</v>
      </c>
      <c r="Q211" s="21">
        <f t="shared" si="24"/>
        <v>11.969480838489998</v>
      </c>
    </row>
    <row r="212" spans="1:17" x14ac:dyDescent="0.25">
      <c r="A212" s="18">
        <v>7970620</v>
      </c>
      <c r="B212" s="19" t="s">
        <v>1323</v>
      </c>
      <c r="C212" s="28">
        <v>150</v>
      </c>
      <c r="D212" s="19" t="s">
        <v>191</v>
      </c>
      <c r="E212" s="19" t="s">
        <v>14</v>
      </c>
      <c r="F212" s="19" t="s">
        <v>33</v>
      </c>
      <c r="G212" s="19" t="s">
        <v>34</v>
      </c>
      <c r="H212" s="19" t="s">
        <v>270</v>
      </c>
      <c r="I212" s="19">
        <v>10</v>
      </c>
      <c r="J212" s="19" t="s">
        <v>379</v>
      </c>
      <c r="K212" s="19" t="s">
        <v>18</v>
      </c>
      <c r="L212" s="19">
        <v>0</v>
      </c>
      <c r="M212" s="34">
        <f t="shared" si="22"/>
        <v>182.04900000000001</v>
      </c>
      <c r="N212" s="19">
        <v>0</v>
      </c>
      <c r="O212" s="34">
        <v>0</v>
      </c>
      <c r="P212" s="34">
        <f t="shared" si="23"/>
        <v>-182.04900000000001</v>
      </c>
      <c r="Q212" s="21">
        <f t="shared" si="24"/>
        <v>182.04900000000001</v>
      </c>
    </row>
    <row r="213" spans="1:17" x14ac:dyDescent="0.25">
      <c r="A213" s="18">
        <v>7970220</v>
      </c>
      <c r="B213" s="19" t="s">
        <v>1324</v>
      </c>
      <c r="C213" s="28">
        <v>330</v>
      </c>
      <c r="D213" s="19" t="s">
        <v>191</v>
      </c>
      <c r="E213" s="19" t="s">
        <v>14</v>
      </c>
      <c r="F213" s="19" t="s">
        <v>33</v>
      </c>
      <c r="G213" s="19" t="s">
        <v>34</v>
      </c>
      <c r="H213" s="19" t="s">
        <v>270</v>
      </c>
      <c r="I213" s="19">
        <v>20.475000000000001</v>
      </c>
      <c r="J213" s="19" t="s">
        <v>379</v>
      </c>
      <c r="K213" s="19" t="s">
        <v>18</v>
      </c>
      <c r="L213" s="19">
        <v>0</v>
      </c>
      <c r="M213" s="34">
        <f t="shared" si="22"/>
        <v>400.50779999999997</v>
      </c>
      <c r="N213" s="19">
        <v>0</v>
      </c>
      <c r="O213" s="34">
        <v>0</v>
      </c>
      <c r="P213" s="34">
        <f t="shared" si="23"/>
        <v>-400.50779999999997</v>
      </c>
      <c r="Q213" s="21">
        <f t="shared" si="24"/>
        <v>400.50779999999997</v>
      </c>
    </row>
    <row r="214" spans="1:17" x14ac:dyDescent="0.25">
      <c r="A214" s="18">
        <v>7969920</v>
      </c>
      <c r="B214" s="19" t="s">
        <v>1325</v>
      </c>
      <c r="C214" s="28">
        <v>660</v>
      </c>
      <c r="D214" s="19" t="s">
        <v>191</v>
      </c>
      <c r="E214" s="19" t="s">
        <v>14</v>
      </c>
      <c r="F214" s="19" t="s">
        <v>33</v>
      </c>
      <c r="G214" s="19" t="s">
        <v>34</v>
      </c>
      <c r="H214" s="19" t="s">
        <v>270</v>
      </c>
      <c r="I214" s="19">
        <v>36.75</v>
      </c>
      <c r="J214" s="19" t="s">
        <v>379</v>
      </c>
      <c r="K214" s="19" t="s">
        <v>18</v>
      </c>
      <c r="L214" s="19">
        <v>0</v>
      </c>
      <c r="M214" s="34">
        <f t="shared" si="22"/>
        <v>801.01559999999995</v>
      </c>
      <c r="N214" s="19">
        <v>0</v>
      </c>
      <c r="O214" s="34">
        <v>0</v>
      </c>
      <c r="P214" s="34">
        <f t="shared" si="23"/>
        <v>-801.01559999999995</v>
      </c>
      <c r="Q214" s="21">
        <f t="shared" si="24"/>
        <v>801.01559999999995</v>
      </c>
    </row>
    <row r="215" spans="1:17" x14ac:dyDescent="0.25">
      <c r="A215" s="18">
        <v>795601</v>
      </c>
      <c r="B215" s="19" t="s">
        <v>1326</v>
      </c>
      <c r="C215" s="28">
        <f>I215*3%+I215</f>
        <v>5.4074999999999998</v>
      </c>
      <c r="D215" s="19" t="s">
        <v>13</v>
      </c>
      <c r="E215" s="19" t="s">
        <v>14</v>
      </c>
      <c r="F215" s="19" t="s">
        <v>33</v>
      </c>
      <c r="G215" s="19" t="s">
        <v>34</v>
      </c>
      <c r="H215" s="19" t="s">
        <v>270</v>
      </c>
      <c r="I215" s="19">
        <v>5.25</v>
      </c>
      <c r="J215" s="19" t="s">
        <v>13</v>
      </c>
      <c r="K215" s="19" t="s">
        <v>18</v>
      </c>
      <c r="L215" s="19">
        <v>0</v>
      </c>
      <c r="M215" s="34">
        <f t="shared" si="22"/>
        <v>6.5628664499999996</v>
      </c>
      <c r="N215" s="19">
        <v>0</v>
      </c>
      <c r="O215" s="34">
        <v>0</v>
      </c>
      <c r="P215" s="34">
        <f t="shared" si="23"/>
        <v>-6.5628664499999996</v>
      </c>
      <c r="Q215" s="21">
        <f t="shared" si="24"/>
        <v>6.5628664499999996</v>
      </c>
    </row>
    <row r="216" spans="1:17" x14ac:dyDescent="0.25">
      <c r="A216" s="18">
        <v>795710</v>
      </c>
      <c r="B216" s="19" t="s">
        <v>1327</v>
      </c>
      <c r="C216" s="28">
        <f>I216*3%+I216</f>
        <v>21.63</v>
      </c>
      <c r="D216" s="19" t="s">
        <v>13</v>
      </c>
      <c r="E216" s="19" t="s">
        <v>14</v>
      </c>
      <c r="F216" s="19" t="s">
        <v>33</v>
      </c>
      <c r="G216" s="19" t="s">
        <v>34</v>
      </c>
      <c r="H216" s="19" t="s">
        <v>270</v>
      </c>
      <c r="I216" s="19">
        <v>21</v>
      </c>
      <c r="J216" s="19" t="s">
        <v>13</v>
      </c>
      <c r="K216" s="19" t="s">
        <v>18</v>
      </c>
      <c r="L216" s="19">
        <v>0</v>
      </c>
      <c r="M216" s="34">
        <f t="shared" si="22"/>
        <v>26.251465799999998</v>
      </c>
      <c r="N216" s="19">
        <v>0</v>
      </c>
      <c r="O216" s="34">
        <v>0</v>
      </c>
      <c r="P216" s="34">
        <f t="shared" si="23"/>
        <v>-26.251465799999998</v>
      </c>
      <c r="Q216" s="21">
        <f t="shared" si="24"/>
        <v>26.251465799999998</v>
      </c>
    </row>
    <row r="217" spans="1:17" x14ac:dyDescent="0.25">
      <c r="A217" s="18">
        <v>795550</v>
      </c>
      <c r="B217" s="19" t="s">
        <v>1328</v>
      </c>
      <c r="C217" s="28">
        <v>285.51</v>
      </c>
      <c r="D217" s="19" t="s">
        <v>191</v>
      </c>
      <c r="E217" s="19" t="s">
        <v>14</v>
      </c>
      <c r="F217" s="19" t="s">
        <v>33</v>
      </c>
      <c r="G217" s="19" t="s">
        <v>34</v>
      </c>
      <c r="H217" s="19" t="s">
        <v>270</v>
      </c>
      <c r="I217" s="19">
        <v>5.5418000000000003</v>
      </c>
      <c r="J217" s="19" t="s">
        <v>379</v>
      </c>
      <c r="K217" s="19" t="s">
        <v>18</v>
      </c>
      <c r="L217" s="19">
        <v>0</v>
      </c>
      <c r="M217" s="20">
        <f t="shared" si="22"/>
        <v>346.51206659999997</v>
      </c>
      <c r="N217" s="19">
        <v>0</v>
      </c>
      <c r="O217" s="20">
        <v>0</v>
      </c>
      <c r="P217" s="20">
        <f t="shared" si="23"/>
        <v>-346.51206659999997</v>
      </c>
      <c r="Q217" s="21">
        <f t="shared" si="24"/>
        <v>346.51206659999997</v>
      </c>
    </row>
    <row r="218" spans="1:17" x14ac:dyDescent="0.25">
      <c r="A218" s="18">
        <v>795850</v>
      </c>
      <c r="B218" s="19" t="s">
        <v>1329</v>
      </c>
      <c r="C218" s="28">
        <f>I218*3%+I218</f>
        <v>9.8623014999999992</v>
      </c>
      <c r="D218" s="30" t="s">
        <v>13</v>
      </c>
      <c r="E218" s="30" t="s">
        <v>14</v>
      </c>
      <c r="F218" s="30" t="s">
        <v>33</v>
      </c>
      <c r="G218" s="30" t="s">
        <v>34</v>
      </c>
      <c r="H218" s="30" t="s">
        <v>270</v>
      </c>
      <c r="I218" s="30">
        <v>9.5750499999999992</v>
      </c>
      <c r="J218" s="30" t="s">
        <v>13</v>
      </c>
      <c r="K218" s="30" t="s">
        <v>18</v>
      </c>
      <c r="L218" s="19">
        <v>0</v>
      </c>
      <c r="M218" s="34">
        <f t="shared" si="22"/>
        <v>11.969480838489998</v>
      </c>
      <c r="N218" s="19">
        <v>0</v>
      </c>
      <c r="O218" s="34">
        <v>0</v>
      </c>
      <c r="P218" s="34">
        <f t="shared" si="23"/>
        <v>-11.969480838489998</v>
      </c>
      <c r="Q218" s="21">
        <f>C218*1.21366</f>
        <v>11.969480838489998</v>
      </c>
    </row>
    <row r="219" spans="1:17" x14ac:dyDescent="0.25">
      <c r="A219" s="18" t="s">
        <v>470</v>
      </c>
      <c r="B219" s="19" t="s">
        <v>1330</v>
      </c>
      <c r="C219" s="28">
        <f t="shared" ref="C219:C226" si="25">I219*3%+I219</f>
        <v>0</v>
      </c>
      <c r="D219" s="19" t="s">
        <v>191</v>
      </c>
      <c r="E219" s="19"/>
      <c r="F219" s="19" t="s">
        <v>33</v>
      </c>
      <c r="G219" s="19" t="s">
        <v>34</v>
      </c>
      <c r="H219" s="19" t="s">
        <v>270</v>
      </c>
      <c r="I219" s="19"/>
      <c r="J219" s="19" t="s">
        <v>191</v>
      </c>
      <c r="K219" s="19" t="s">
        <v>18</v>
      </c>
      <c r="L219" s="19">
        <v>0</v>
      </c>
      <c r="M219" s="34">
        <f t="shared" si="22"/>
        <v>0</v>
      </c>
      <c r="N219" s="19">
        <v>0</v>
      </c>
      <c r="O219" s="34">
        <v>0</v>
      </c>
      <c r="P219" s="34">
        <f t="shared" si="23"/>
        <v>0</v>
      </c>
      <c r="Q219" s="21">
        <f t="shared" ref="Q219:Q282" si="26">C219*1.21366</f>
        <v>0</v>
      </c>
    </row>
    <row r="220" spans="1:17" x14ac:dyDescent="0.25">
      <c r="A220" s="18">
        <v>7953410</v>
      </c>
      <c r="B220" s="19" t="s">
        <v>1331</v>
      </c>
      <c r="C220" s="28">
        <f t="shared" si="25"/>
        <v>5.4074999999999998</v>
      </c>
      <c r="D220" s="19" t="s">
        <v>13</v>
      </c>
      <c r="E220" s="19" t="s">
        <v>14</v>
      </c>
      <c r="F220" s="19" t="s">
        <v>33</v>
      </c>
      <c r="G220" s="19" t="s">
        <v>34</v>
      </c>
      <c r="H220" s="19" t="s">
        <v>270</v>
      </c>
      <c r="I220" s="19">
        <v>5.25</v>
      </c>
      <c r="J220" s="19" t="s">
        <v>13</v>
      </c>
      <c r="K220" s="19" t="s">
        <v>18</v>
      </c>
      <c r="L220" s="19">
        <v>0</v>
      </c>
      <c r="M220" s="34">
        <f t="shared" si="22"/>
        <v>6.5628664499999996</v>
      </c>
      <c r="N220" s="19">
        <v>0</v>
      </c>
      <c r="O220" s="34">
        <v>0</v>
      </c>
      <c r="P220" s="34">
        <f t="shared" si="23"/>
        <v>-6.5628664499999996</v>
      </c>
      <c r="Q220" s="21">
        <f t="shared" si="26"/>
        <v>6.5628664499999996</v>
      </c>
    </row>
    <row r="221" spans="1:17" x14ac:dyDescent="0.25">
      <c r="A221" s="18">
        <v>7953310</v>
      </c>
      <c r="B221" s="19" t="s">
        <v>1332</v>
      </c>
      <c r="C221" s="28">
        <f t="shared" si="25"/>
        <v>5.4074999999999998</v>
      </c>
      <c r="D221" s="19" t="s">
        <v>13</v>
      </c>
      <c r="E221" s="19" t="s">
        <v>14</v>
      </c>
      <c r="F221" s="19" t="s">
        <v>33</v>
      </c>
      <c r="G221" s="19" t="s">
        <v>34</v>
      </c>
      <c r="H221" s="19" t="s">
        <v>270</v>
      </c>
      <c r="I221" s="19">
        <v>5.25</v>
      </c>
      <c r="J221" s="19" t="s">
        <v>13</v>
      </c>
      <c r="K221" s="19" t="s">
        <v>18</v>
      </c>
      <c r="L221" s="19">
        <v>7953310</v>
      </c>
      <c r="M221" s="34">
        <f t="shared" si="22"/>
        <v>6.5628664499999996</v>
      </c>
      <c r="N221" s="19">
        <v>0</v>
      </c>
      <c r="O221" s="34">
        <v>0</v>
      </c>
      <c r="P221" s="34">
        <f t="shared" si="23"/>
        <v>-6.5628664499999996</v>
      </c>
      <c r="Q221" s="21">
        <f t="shared" si="26"/>
        <v>6.5628664499999996</v>
      </c>
    </row>
    <row r="222" spans="1:17" x14ac:dyDescent="0.25">
      <c r="A222" s="18">
        <v>7953010</v>
      </c>
      <c r="B222" s="19" t="s">
        <v>1333</v>
      </c>
      <c r="C222" s="28">
        <f t="shared" si="25"/>
        <v>57.0929</v>
      </c>
      <c r="D222" s="19" t="s">
        <v>191</v>
      </c>
      <c r="E222" s="19" t="s">
        <v>14</v>
      </c>
      <c r="F222" s="19" t="s">
        <v>33</v>
      </c>
      <c r="G222" s="19" t="s">
        <v>34</v>
      </c>
      <c r="H222" s="19" t="s">
        <v>270</v>
      </c>
      <c r="I222" s="19">
        <v>55.43</v>
      </c>
      <c r="J222" s="19" t="s">
        <v>191</v>
      </c>
      <c r="K222" s="19" t="s">
        <v>18</v>
      </c>
      <c r="L222" s="19">
        <v>0</v>
      </c>
      <c r="M222" s="20">
        <f t="shared" si="22"/>
        <v>69.291369013999997</v>
      </c>
      <c r="N222" s="19">
        <v>0</v>
      </c>
      <c r="O222" s="20">
        <v>0</v>
      </c>
      <c r="P222" s="20">
        <f t="shared" si="23"/>
        <v>-69.291369013999997</v>
      </c>
      <c r="Q222" s="21">
        <f t="shared" si="26"/>
        <v>69.291369013999997</v>
      </c>
    </row>
    <row r="223" spans="1:17" x14ac:dyDescent="0.25">
      <c r="A223" s="18">
        <v>7953005</v>
      </c>
      <c r="B223" s="19" t="s">
        <v>1334</v>
      </c>
      <c r="C223" s="28">
        <f t="shared" si="25"/>
        <v>7.3727400000000003</v>
      </c>
      <c r="D223" s="19" t="s">
        <v>191</v>
      </c>
      <c r="E223" s="19" t="s">
        <v>14</v>
      </c>
      <c r="F223" s="19" t="s">
        <v>33</v>
      </c>
      <c r="G223" s="19" t="s">
        <v>34</v>
      </c>
      <c r="H223" s="19" t="s">
        <v>270</v>
      </c>
      <c r="I223" s="19">
        <v>7.1580000000000004</v>
      </c>
      <c r="J223" s="19" t="s">
        <v>379</v>
      </c>
      <c r="K223" s="19" t="s">
        <v>18</v>
      </c>
      <c r="L223" s="19">
        <v>0</v>
      </c>
      <c r="M223" s="20">
        <f t="shared" si="22"/>
        <v>8.9479996283999998</v>
      </c>
      <c r="N223" s="19">
        <v>0</v>
      </c>
      <c r="O223" s="20">
        <v>0</v>
      </c>
      <c r="P223" s="20">
        <f t="shared" si="23"/>
        <v>-8.9479996283999998</v>
      </c>
      <c r="Q223" s="21">
        <f t="shared" si="26"/>
        <v>8.9479996283999998</v>
      </c>
    </row>
    <row r="224" spans="1:17" x14ac:dyDescent="0.25">
      <c r="A224" s="18">
        <v>7950425</v>
      </c>
      <c r="B224" s="19" t="s">
        <v>1335</v>
      </c>
      <c r="C224" s="28">
        <f t="shared" si="25"/>
        <v>4.5336480000000003</v>
      </c>
      <c r="D224" s="19" t="s">
        <v>191</v>
      </c>
      <c r="E224" s="19" t="s">
        <v>14</v>
      </c>
      <c r="F224" s="19" t="s">
        <v>33</v>
      </c>
      <c r="G224" s="19" t="s">
        <v>34</v>
      </c>
      <c r="H224" s="19" t="s">
        <v>477</v>
      </c>
      <c r="I224" s="19">
        <v>4.4016000000000002</v>
      </c>
      <c r="J224" s="19" t="s">
        <v>379</v>
      </c>
      <c r="K224" s="19" t="s">
        <v>18</v>
      </c>
      <c r="L224" s="19">
        <v>0</v>
      </c>
      <c r="M224" s="34">
        <f t="shared" si="22"/>
        <v>5.5023072316800006</v>
      </c>
      <c r="N224" s="19">
        <v>0</v>
      </c>
      <c r="O224" s="34">
        <v>0</v>
      </c>
      <c r="P224" s="34">
        <f t="shared" si="23"/>
        <v>-5.5023072316800006</v>
      </c>
      <c r="Q224" s="21">
        <f t="shared" si="26"/>
        <v>5.5023072316800006</v>
      </c>
    </row>
    <row r="225" spans="1:17" x14ac:dyDescent="0.25">
      <c r="A225" s="18">
        <v>795130</v>
      </c>
      <c r="B225" s="19" t="s">
        <v>1336</v>
      </c>
      <c r="C225" s="28">
        <f t="shared" si="25"/>
        <v>9.0124999999999993</v>
      </c>
      <c r="D225" s="19" t="s">
        <v>191</v>
      </c>
      <c r="E225" s="19" t="s">
        <v>14</v>
      </c>
      <c r="F225" s="19" t="s">
        <v>33</v>
      </c>
      <c r="G225" s="19" t="s">
        <v>34</v>
      </c>
      <c r="H225" s="19" t="s">
        <v>270</v>
      </c>
      <c r="I225" s="19">
        <v>8.75</v>
      </c>
      <c r="J225" s="19" t="s">
        <v>379</v>
      </c>
      <c r="K225" s="19" t="s">
        <v>18</v>
      </c>
      <c r="L225" s="19">
        <v>0</v>
      </c>
      <c r="M225" s="34">
        <f t="shared" si="22"/>
        <v>10.938110749999998</v>
      </c>
      <c r="N225" s="19">
        <v>0</v>
      </c>
      <c r="O225" s="34">
        <v>0</v>
      </c>
      <c r="P225" s="34">
        <f t="shared" si="23"/>
        <v>-10.938110749999998</v>
      </c>
      <c r="Q225" s="21">
        <f t="shared" si="26"/>
        <v>10.938110749999998</v>
      </c>
    </row>
    <row r="226" spans="1:17" x14ac:dyDescent="0.25">
      <c r="A226" s="18">
        <v>795230</v>
      </c>
      <c r="B226" s="19" t="s">
        <v>1337</v>
      </c>
      <c r="C226" s="28">
        <f t="shared" si="25"/>
        <v>16.2225</v>
      </c>
      <c r="D226" s="19" t="s">
        <v>191</v>
      </c>
      <c r="E226" s="19" t="s">
        <v>14</v>
      </c>
      <c r="F226" s="19" t="s">
        <v>33</v>
      </c>
      <c r="G226" s="19" t="s">
        <v>34</v>
      </c>
      <c r="H226" s="19" t="s">
        <v>270</v>
      </c>
      <c r="I226" s="19">
        <v>15.75</v>
      </c>
      <c r="J226" s="19" t="s">
        <v>379</v>
      </c>
      <c r="K226" s="19" t="s">
        <v>18</v>
      </c>
      <c r="L226" s="19">
        <v>0</v>
      </c>
      <c r="M226" s="34">
        <f t="shared" si="22"/>
        <v>19.68859935</v>
      </c>
      <c r="N226" s="19">
        <v>0</v>
      </c>
      <c r="O226" s="34">
        <v>0</v>
      </c>
      <c r="P226" s="34">
        <f t="shared" si="23"/>
        <v>-19.68859935</v>
      </c>
      <c r="Q226" s="21">
        <f t="shared" si="26"/>
        <v>19.68859935</v>
      </c>
    </row>
    <row r="227" spans="1:17" x14ac:dyDescent="0.25">
      <c r="A227" s="18">
        <v>1666902</v>
      </c>
      <c r="B227" s="19" t="s">
        <v>1338</v>
      </c>
      <c r="C227" s="28">
        <v>100</v>
      </c>
      <c r="D227" s="19" t="s">
        <v>111</v>
      </c>
      <c r="E227" s="19" t="s">
        <v>14</v>
      </c>
      <c r="F227" s="19" t="s">
        <v>33</v>
      </c>
      <c r="G227" s="19" t="s">
        <v>34</v>
      </c>
      <c r="H227" s="19" t="s">
        <v>112</v>
      </c>
      <c r="I227" s="19">
        <v>52.5</v>
      </c>
      <c r="J227" s="19" t="s">
        <v>331</v>
      </c>
      <c r="K227" s="19" t="s">
        <v>18</v>
      </c>
      <c r="L227" s="19">
        <v>0</v>
      </c>
      <c r="M227" s="34">
        <f t="shared" si="22"/>
        <v>121.366</v>
      </c>
      <c r="N227" s="19">
        <v>0</v>
      </c>
      <c r="O227" s="34">
        <v>0</v>
      </c>
      <c r="P227" s="34">
        <f t="shared" si="23"/>
        <v>-121.366</v>
      </c>
      <c r="Q227" s="21">
        <f t="shared" si="26"/>
        <v>121.366</v>
      </c>
    </row>
    <row r="228" spans="1:17" x14ac:dyDescent="0.25">
      <c r="A228" s="18">
        <v>7823225</v>
      </c>
      <c r="B228" s="19" t="s">
        <v>1339</v>
      </c>
      <c r="C228" s="28">
        <f>I228*3%+I228</f>
        <v>502.89749999999998</v>
      </c>
      <c r="D228" s="19" t="s">
        <v>118</v>
      </c>
      <c r="E228" s="19"/>
      <c r="F228" s="19" t="s">
        <v>33</v>
      </c>
      <c r="G228" s="19" t="s">
        <v>34</v>
      </c>
      <c r="H228" s="19" t="s">
        <v>330</v>
      </c>
      <c r="I228" s="19">
        <v>488.25</v>
      </c>
      <c r="J228" s="19" t="s">
        <v>118</v>
      </c>
      <c r="K228" s="19" t="s">
        <v>18</v>
      </c>
      <c r="L228" s="19">
        <v>0</v>
      </c>
      <c r="M228" s="34">
        <f t="shared" si="22"/>
        <v>610.34657985000001</v>
      </c>
      <c r="N228" s="19">
        <v>0</v>
      </c>
      <c r="O228" s="34">
        <v>0</v>
      </c>
      <c r="P228" s="34">
        <f t="shared" si="23"/>
        <v>-610.34657985000001</v>
      </c>
      <c r="Q228" s="21">
        <f t="shared" si="26"/>
        <v>610.34657985000001</v>
      </c>
    </row>
    <row r="229" spans="1:17" x14ac:dyDescent="0.25">
      <c r="A229" s="18">
        <v>7823332</v>
      </c>
      <c r="B229" s="19" t="s">
        <v>1340</v>
      </c>
      <c r="C229" s="28">
        <f t="shared" ref="C229:C237" si="27">I229*3%+I229</f>
        <v>34.268100000000004</v>
      </c>
      <c r="D229" s="19" t="s">
        <v>334</v>
      </c>
      <c r="E229" s="19"/>
      <c r="F229" s="19" t="s">
        <v>33</v>
      </c>
      <c r="G229" s="19" t="s">
        <v>34</v>
      </c>
      <c r="H229" s="19" t="s">
        <v>330</v>
      </c>
      <c r="I229" s="19">
        <v>33.270000000000003</v>
      </c>
      <c r="J229" s="19" t="s">
        <v>334</v>
      </c>
      <c r="K229" s="19" t="s">
        <v>18</v>
      </c>
      <c r="L229" s="19">
        <v>0</v>
      </c>
      <c r="M229" s="34">
        <f t="shared" si="22"/>
        <v>41.589822246000004</v>
      </c>
      <c r="N229" s="19">
        <v>0</v>
      </c>
      <c r="O229" s="34">
        <v>0</v>
      </c>
      <c r="P229" s="34">
        <f t="shared" si="23"/>
        <v>-41.589822246000004</v>
      </c>
      <c r="Q229" s="21">
        <f t="shared" si="26"/>
        <v>41.589822246000004</v>
      </c>
    </row>
    <row r="230" spans="1:17" x14ac:dyDescent="0.25">
      <c r="A230" s="18">
        <v>7823438</v>
      </c>
      <c r="B230" s="19" t="s">
        <v>1341</v>
      </c>
      <c r="C230" s="28">
        <f t="shared" si="27"/>
        <v>13.884400000000001</v>
      </c>
      <c r="D230" s="19" t="s">
        <v>334</v>
      </c>
      <c r="E230" s="19"/>
      <c r="F230" s="19" t="s">
        <v>33</v>
      </c>
      <c r="G230" s="19" t="s">
        <v>34</v>
      </c>
      <c r="H230" s="19" t="s">
        <v>330</v>
      </c>
      <c r="I230" s="19">
        <v>13.48</v>
      </c>
      <c r="J230" s="19" t="s">
        <v>334</v>
      </c>
      <c r="K230" s="19" t="s">
        <v>18</v>
      </c>
      <c r="L230" s="19">
        <v>0</v>
      </c>
      <c r="M230" s="34">
        <f t="shared" si="22"/>
        <v>16.850940904000002</v>
      </c>
      <c r="N230" s="19">
        <v>0</v>
      </c>
      <c r="O230" s="34">
        <v>0</v>
      </c>
      <c r="P230" s="34">
        <f t="shared" si="23"/>
        <v>-16.850940904000002</v>
      </c>
      <c r="Q230" s="21">
        <f t="shared" si="26"/>
        <v>16.850940904000002</v>
      </c>
    </row>
    <row r="231" spans="1:17" x14ac:dyDescent="0.25">
      <c r="A231" s="18">
        <v>7820325</v>
      </c>
      <c r="B231" s="19" t="s">
        <v>1342</v>
      </c>
      <c r="C231" s="28">
        <f t="shared" si="27"/>
        <v>275.52499999999998</v>
      </c>
      <c r="D231" s="19" t="s">
        <v>118</v>
      </c>
      <c r="E231" s="19"/>
      <c r="F231" s="19" t="s">
        <v>33</v>
      </c>
      <c r="G231" s="19" t="s">
        <v>34</v>
      </c>
      <c r="H231" s="19" t="s">
        <v>330</v>
      </c>
      <c r="I231" s="19">
        <v>267.5</v>
      </c>
      <c r="J231" s="19" t="s">
        <v>118</v>
      </c>
      <c r="K231" s="19" t="s">
        <v>18</v>
      </c>
      <c r="L231" s="19">
        <v>0</v>
      </c>
      <c r="M231" s="34">
        <f t="shared" si="22"/>
        <v>334.39367149999998</v>
      </c>
      <c r="N231" s="19">
        <v>0</v>
      </c>
      <c r="O231" s="34">
        <v>0</v>
      </c>
      <c r="P231" s="34">
        <f t="shared" si="23"/>
        <v>-334.39367149999998</v>
      </c>
      <c r="Q231" s="21">
        <f t="shared" si="26"/>
        <v>334.39367149999998</v>
      </c>
    </row>
    <row r="232" spans="1:17" x14ac:dyDescent="0.25">
      <c r="A232" s="18">
        <v>7820432</v>
      </c>
      <c r="B232" s="19" t="s">
        <v>1343</v>
      </c>
      <c r="C232" s="28">
        <f t="shared" si="27"/>
        <v>34.268100000000004</v>
      </c>
      <c r="D232" s="19" t="s">
        <v>334</v>
      </c>
      <c r="E232" s="19"/>
      <c r="F232" s="19" t="s">
        <v>33</v>
      </c>
      <c r="G232" s="19" t="s">
        <v>34</v>
      </c>
      <c r="H232" s="19" t="s">
        <v>330</v>
      </c>
      <c r="I232" s="19">
        <v>33.270000000000003</v>
      </c>
      <c r="J232" s="19" t="s">
        <v>334</v>
      </c>
      <c r="K232" s="19" t="s">
        <v>18</v>
      </c>
      <c r="L232" s="19">
        <v>0</v>
      </c>
      <c r="M232" s="34">
        <f t="shared" si="22"/>
        <v>41.589822246000004</v>
      </c>
      <c r="N232" s="19">
        <v>0</v>
      </c>
      <c r="O232" s="34">
        <v>0</v>
      </c>
      <c r="P232" s="34">
        <f t="shared" si="23"/>
        <v>-41.589822246000004</v>
      </c>
      <c r="Q232" s="21">
        <f t="shared" si="26"/>
        <v>41.589822246000004</v>
      </c>
    </row>
    <row r="233" spans="1:17" x14ac:dyDescent="0.25">
      <c r="A233" s="18">
        <v>7820538</v>
      </c>
      <c r="B233" s="19" t="s">
        <v>1344</v>
      </c>
      <c r="C233" s="28">
        <f t="shared" si="27"/>
        <v>13.884400000000001</v>
      </c>
      <c r="D233" s="19" t="s">
        <v>334</v>
      </c>
      <c r="E233" s="19"/>
      <c r="F233" s="19" t="s">
        <v>33</v>
      </c>
      <c r="G233" s="19" t="s">
        <v>34</v>
      </c>
      <c r="H233" s="19" t="s">
        <v>330</v>
      </c>
      <c r="I233" s="19">
        <v>13.48</v>
      </c>
      <c r="J233" s="19" t="s">
        <v>334</v>
      </c>
      <c r="K233" s="19" t="s">
        <v>18</v>
      </c>
      <c r="L233" s="19">
        <v>0</v>
      </c>
      <c r="M233" s="34">
        <f t="shared" si="22"/>
        <v>16.850940904000002</v>
      </c>
      <c r="N233" s="19">
        <v>0</v>
      </c>
      <c r="O233" s="34">
        <v>0</v>
      </c>
      <c r="P233" s="34">
        <f t="shared" si="23"/>
        <v>-16.850940904000002</v>
      </c>
      <c r="Q233" s="21">
        <f t="shared" si="26"/>
        <v>16.850940904000002</v>
      </c>
    </row>
    <row r="234" spans="1:17" x14ac:dyDescent="0.25">
      <c r="A234" s="18">
        <v>7824825</v>
      </c>
      <c r="B234" s="19" t="s">
        <v>1345</v>
      </c>
      <c r="C234" s="28">
        <f t="shared" si="27"/>
        <v>381.98580000000004</v>
      </c>
      <c r="D234" s="19" t="s">
        <v>118</v>
      </c>
      <c r="E234" s="19"/>
      <c r="F234" s="19" t="s">
        <v>33</v>
      </c>
      <c r="G234" s="19" t="s">
        <v>34</v>
      </c>
      <c r="H234" s="19" t="s">
        <v>330</v>
      </c>
      <c r="I234" s="19">
        <v>370.86</v>
      </c>
      <c r="J234" s="19" t="s">
        <v>118</v>
      </c>
      <c r="K234" s="19" t="s">
        <v>18</v>
      </c>
      <c r="L234" s="19">
        <v>0</v>
      </c>
      <c r="M234" s="34">
        <f t="shared" si="22"/>
        <v>463.60088602800005</v>
      </c>
      <c r="N234" s="19">
        <v>0</v>
      </c>
      <c r="O234" s="34">
        <v>0</v>
      </c>
      <c r="P234" s="34">
        <f t="shared" si="23"/>
        <v>-463.60088602800005</v>
      </c>
      <c r="Q234" s="21">
        <f t="shared" si="26"/>
        <v>463.60088602800005</v>
      </c>
    </row>
    <row r="235" spans="1:17" x14ac:dyDescent="0.25">
      <c r="A235" s="18">
        <v>124810</v>
      </c>
      <c r="B235" s="19" t="s">
        <v>1346</v>
      </c>
      <c r="C235" s="28">
        <f t="shared" si="27"/>
        <v>5.7144399999999997</v>
      </c>
      <c r="D235" s="19" t="s">
        <v>111</v>
      </c>
      <c r="E235" s="19" t="s">
        <v>14</v>
      </c>
      <c r="F235" s="19" t="s">
        <v>33</v>
      </c>
      <c r="G235" s="19" t="s">
        <v>34</v>
      </c>
      <c r="H235" s="19" t="s">
        <v>489</v>
      </c>
      <c r="I235" s="19">
        <v>5.548</v>
      </c>
      <c r="J235" s="19" t="s">
        <v>331</v>
      </c>
      <c r="K235" s="19" t="s">
        <v>18</v>
      </c>
      <c r="L235" s="19">
        <v>0</v>
      </c>
      <c r="M235" s="34">
        <f t="shared" si="22"/>
        <v>6.9353872503999998</v>
      </c>
      <c r="N235" s="19">
        <v>0</v>
      </c>
      <c r="O235" s="34">
        <v>0</v>
      </c>
      <c r="P235" s="34">
        <f t="shared" si="23"/>
        <v>-6.9353872503999998</v>
      </c>
      <c r="Q235" s="21">
        <f t="shared" si="26"/>
        <v>6.9353872503999998</v>
      </c>
    </row>
    <row r="236" spans="1:17" x14ac:dyDescent="0.25">
      <c r="A236" s="18">
        <v>124820</v>
      </c>
      <c r="B236" s="19" t="s">
        <v>1347</v>
      </c>
      <c r="C236" s="28">
        <f t="shared" si="27"/>
        <v>5.4646650000000001</v>
      </c>
      <c r="D236" s="19" t="s">
        <v>111</v>
      </c>
      <c r="E236" s="19" t="s">
        <v>14</v>
      </c>
      <c r="F236" s="19" t="s">
        <v>33</v>
      </c>
      <c r="G236" s="19" t="s">
        <v>34</v>
      </c>
      <c r="H236" s="19" t="s">
        <v>489</v>
      </c>
      <c r="I236" s="19">
        <v>5.3055000000000003</v>
      </c>
      <c r="J236" s="19" t="s">
        <v>331</v>
      </c>
      <c r="K236" s="19" t="s">
        <v>18</v>
      </c>
      <c r="L236" s="19">
        <v>0</v>
      </c>
      <c r="M236" s="34">
        <f t="shared" si="22"/>
        <v>6.6322453239000003</v>
      </c>
      <c r="N236" s="19">
        <v>0</v>
      </c>
      <c r="O236" s="34">
        <v>0</v>
      </c>
      <c r="P236" s="34">
        <f t="shared" si="23"/>
        <v>-6.6322453239000003</v>
      </c>
      <c r="Q236" s="21">
        <f t="shared" si="26"/>
        <v>6.6322453239000003</v>
      </c>
    </row>
    <row r="237" spans="1:17" x14ac:dyDescent="0.25">
      <c r="A237" s="18">
        <v>124805</v>
      </c>
      <c r="B237" s="19" t="s">
        <v>1348</v>
      </c>
      <c r="C237" s="28">
        <f t="shared" si="27"/>
        <v>31.1266</v>
      </c>
      <c r="D237" s="19" t="s">
        <v>111</v>
      </c>
      <c r="E237" s="19" t="s">
        <v>14</v>
      </c>
      <c r="F237" s="19" t="s">
        <v>33</v>
      </c>
      <c r="G237" s="19" t="s">
        <v>34</v>
      </c>
      <c r="H237" s="19" t="s">
        <v>489</v>
      </c>
      <c r="I237" s="19">
        <v>30.22</v>
      </c>
      <c r="J237" s="19" t="s">
        <v>111</v>
      </c>
      <c r="K237" s="19" t="s">
        <v>18</v>
      </c>
      <c r="L237" s="19">
        <v>0</v>
      </c>
      <c r="M237" s="34">
        <f t="shared" si="22"/>
        <v>37.777109355999997</v>
      </c>
      <c r="N237" s="19">
        <v>0</v>
      </c>
      <c r="O237" s="34">
        <v>0</v>
      </c>
      <c r="P237" s="34">
        <f t="shared" si="23"/>
        <v>-37.777109355999997</v>
      </c>
      <c r="Q237" s="21">
        <f t="shared" si="26"/>
        <v>37.777109355999997</v>
      </c>
    </row>
    <row r="238" spans="1:17" x14ac:dyDescent="0.25">
      <c r="A238" s="18" t="s">
        <v>492</v>
      </c>
      <c r="B238" s="19" t="s">
        <v>1349</v>
      </c>
      <c r="C238" s="28">
        <v>150</v>
      </c>
      <c r="D238" s="19" t="s">
        <v>242</v>
      </c>
      <c r="E238" s="19" t="s">
        <v>14</v>
      </c>
      <c r="F238" s="19" t="s">
        <v>33</v>
      </c>
      <c r="G238" s="19" t="s">
        <v>34</v>
      </c>
      <c r="H238" s="19" t="s">
        <v>494</v>
      </c>
      <c r="I238" s="19">
        <v>147</v>
      </c>
      <c r="J238" s="19" t="s">
        <v>242</v>
      </c>
      <c r="K238" s="19" t="s">
        <v>18</v>
      </c>
      <c r="L238" s="19">
        <v>0</v>
      </c>
      <c r="M238" s="34">
        <f t="shared" si="22"/>
        <v>182.04900000000001</v>
      </c>
      <c r="N238" s="19">
        <v>0</v>
      </c>
      <c r="O238" s="34">
        <v>0</v>
      </c>
      <c r="P238" s="34">
        <f t="shared" si="23"/>
        <v>-182.04900000000001</v>
      </c>
      <c r="Q238" s="21">
        <f t="shared" si="26"/>
        <v>182.04900000000001</v>
      </c>
    </row>
    <row r="239" spans="1:17" x14ac:dyDescent="0.25">
      <c r="A239" s="18">
        <v>7345215</v>
      </c>
      <c r="B239" s="19" t="s">
        <v>1350</v>
      </c>
      <c r="C239" s="28">
        <f>I239*3%+I239</f>
        <v>8.8497599999999998</v>
      </c>
      <c r="D239" s="19" t="s">
        <v>111</v>
      </c>
      <c r="E239" s="19" t="s">
        <v>14</v>
      </c>
      <c r="F239" s="19" t="s">
        <v>33</v>
      </c>
      <c r="G239" s="19" t="s">
        <v>34</v>
      </c>
      <c r="H239" s="19" t="s">
        <v>489</v>
      </c>
      <c r="I239" s="19">
        <v>8.5920000000000005</v>
      </c>
      <c r="J239" s="19" t="s">
        <v>331</v>
      </c>
      <c r="K239" s="19" t="s">
        <v>18</v>
      </c>
      <c r="L239" s="19">
        <v>0</v>
      </c>
      <c r="M239" s="34">
        <f t="shared" si="22"/>
        <v>10.740599721599999</v>
      </c>
      <c r="N239" s="19">
        <v>0</v>
      </c>
      <c r="O239" s="34">
        <v>0</v>
      </c>
      <c r="P239" s="34">
        <f t="shared" si="23"/>
        <v>-10.740599721599999</v>
      </c>
      <c r="Q239" s="21">
        <f t="shared" si="26"/>
        <v>10.740599721599999</v>
      </c>
    </row>
    <row r="240" spans="1:17" x14ac:dyDescent="0.25">
      <c r="A240" s="18">
        <v>7345207</v>
      </c>
      <c r="B240" s="19" t="s">
        <v>1351</v>
      </c>
      <c r="C240" s="28">
        <f t="shared" ref="C240:C242" si="28">I240*3%+I240</f>
        <v>70.9876</v>
      </c>
      <c r="D240" s="19" t="s">
        <v>111</v>
      </c>
      <c r="E240" s="19" t="s">
        <v>14</v>
      </c>
      <c r="F240" s="19" t="s">
        <v>33</v>
      </c>
      <c r="G240" s="19" t="s">
        <v>34</v>
      </c>
      <c r="H240" s="19" t="s">
        <v>489</v>
      </c>
      <c r="I240" s="19">
        <v>68.92</v>
      </c>
      <c r="J240" s="19" t="s">
        <v>111</v>
      </c>
      <c r="K240" s="19" t="s">
        <v>18</v>
      </c>
      <c r="L240" s="19">
        <v>0</v>
      </c>
      <c r="M240" s="34">
        <f t="shared" si="22"/>
        <v>86.154810615999992</v>
      </c>
      <c r="N240" s="19">
        <v>0</v>
      </c>
      <c r="O240" s="34">
        <v>0</v>
      </c>
      <c r="P240" s="34">
        <f t="shared" si="23"/>
        <v>-86.154810615999992</v>
      </c>
      <c r="Q240" s="21">
        <f t="shared" si="26"/>
        <v>86.154810615999992</v>
      </c>
    </row>
    <row r="241" spans="1:17" x14ac:dyDescent="0.25">
      <c r="A241" s="18" t="s">
        <v>497</v>
      </c>
      <c r="B241" s="19" t="s">
        <v>1352</v>
      </c>
      <c r="C241" s="28">
        <f t="shared" si="28"/>
        <v>0</v>
      </c>
      <c r="D241" s="19" t="s">
        <v>111</v>
      </c>
      <c r="E241" s="19" t="s">
        <v>14</v>
      </c>
      <c r="F241" s="19" t="s">
        <v>33</v>
      </c>
      <c r="G241" s="19" t="s">
        <v>34</v>
      </c>
      <c r="H241" s="19" t="s">
        <v>489</v>
      </c>
      <c r="I241" s="19"/>
      <c r="J241" s="19" t="s">
        <v>331</v>
      </c>
      <c r="K241" s="19" t="s">
        <v>18</v>
      </c>
      <c r="L241" s="19">
        <v>0</v>
      </c>
      <c r="M241" s="34">
        <f t="shared" si="22"/>
        <v>0</v>
      </c>
      <c r="N241" s="19">
        <v>0</v>
      </c>
      <c r="O241" s="34">
        <v>0</v>
      </c>
      <c r="P241" s="34">
        <f t="shared" si="23"/>
        <v>0</v>
      </c>
      <c r="Q241" s="21">
        <f t="shared" si="26"/>
        <v>0</v>
      </c>
    </row>
    <row r="242" spans="1:17" x14ac:dyDescent="0.25">
      <c r="A242" s="18" t="s">
        <v>499</v>
      </c>
      <c r="B242" s="19" t="s">
        <v>1353</v>
      </c>
      <c r="C242" s="28">
        <f t="shared" si="28"/>
        <v>90.058078840000007</v>
      </c>
      <c r="D242" s="19" t="s">
        <v>242</v>
      </c>
      <c r="E242" s="19"/>
      <c r="F242" s="19" t="s">
        <v>33</v>
      </c>
      <c r="G242" s="19" t="s">
        <v>34</v>
      </c>
      <c r="H242" s="19" t="s">
        <v>489</v>
      </c>
      <c r="I242" s="19">
        <v>87.435028000000003</v>
      </c>
      <c r="J242" s="19" t="s">
        <v>242</v>
      </c>
      <c r="K242" s="19" t="s">
        <v>18</v>
      </c>
      <c r="L242" s="19">
        <v>0</v>
      </c>
      <c r="M242" s="34">
        <f t="shared" si="22"/>
        <v>109.29988796495441</v>
      </c>
      <c r="N242" s="19">
        <v>0</v>
      </c>
      <c r="O242" s="34">
        <v>0</v>
      </c>
      <c r="P242" s="34">
        <f t="shared" si="23"/>
        <v>-109.29988796495441</v>
      </c>
      <c r="Q242" s="21">
        <f t="shared" si="26"/>
        <v>109.29988796495441</v>
      </c>
    </row>
    <row r="243" spans="1:17" x14ac:dyDescent="0.25">
      <c r="A243" s="18">
        <v>168332</v>
      </c>
      <c r="B243" s="19" t="s">
        <v>1354</v>
      </c>
      <c r="C243" s="28">
        <v>28</v>
      </c>
      <c r="D243" s="19" t="s">
        <v>32</v>
      </c>
      <c r="E243" s="19" t="s">
        <v>14</v>
      </c>
      <c r="F243" s="19" t="s">
        <v>33</v>
      </c>
      <c r="G243" s="19" t="s">
        <v>34</v>
      </c>
      <c r="H243" s="19" t="s">
        <v>494</v>
      </c>
      <c r="I243" s="19">
        <v>95.33</v>
      </c>
      <c r="J243" s="19" t="s">
        <v>32</v>
      </c>
      <c r="K243" s="19" t="s">
        <v>18</v>
      </c>
      <c r="L243" s="19">
        <v>0</v>
      </c>
      <c r="M243" s="20">
        <f t="shared" si="22"/>
        <v>33.982479999999995</v>
      </c>
      <c r="N243" s="19">
        <v>0</v>
      </c>
      <c r="O243" s="20">
        <v>0</v>
      </c>
      <c r="P243" s="20">
        <f t="shared" si="23"/>
        <v>-33.982479999999995</v>
      </c>
      <c r="Q243" s="21">
        <f t="shared" si="26"/>
        <v>33.982479999999995</v>
      </c>
    </row>
    <row r="244" spans="1:17" x14ac:dyDescent="0.25">
      <c r="A244" s="18">
        <v>168432</v>
      </c>
      <c r="B244" s="19" t="s">
        <v>1355</v>
      </c>
      <c r="C244" s="28">
        <v>55</v>
      </c>
      <c r="D244" s="19" t="s">
        <v>118</v>
      </c>
      <c r="E244" s="19" t="s">
        <v>14</v>
      </c>
      <c r="F244" s="19" t="s">
        <v>33</v>
      </c>
      <c r="G244" s="19" t="s">
        <v>34</v>
      </c>
      <c r="H244" s="19" t="s">
        <v>494</v>
      </c>
      <c r="I244" s="19">
        <v>88.62</v>
      </c>
      <c r="J244" s="19" t="s">
        <v>118</v>
      </c>
      <c r="K244" s="19" t="s">
        <v>18</v>
      </c>
      <c r="L244" s="19">
        <v>0</v>
      </c>
      <c r="M244" s="20">
        <f t="shared" si="22"/>
        <v>66.751300000000001</v>
      </c>
      <c r="N244" s="19">
        <v>0</v>
      </c>
      <c r="O244" s="20">
        <v>0</v>
      </c>
      <c r="P244" s="20">
        <f t="shared" si="23"/>
        <v>-66.751300000000001</v>
      </c>
      <c r="Q244" s="21">
        <f t="shared" si="26"/>
        <v>66.751300000000001</v>
      </c>
    </row>
    <row r="245" spans="1:17" x14ac:dyDescent="0.25">
      <c r="A245" s="18">
        <v>7345176</v>
      </c>
      <c r="B245" s="19" t="s">
        <v>1356</v>
      </c>
      <c r="C245" s="28">
        <f>I245*3%+I245</f>
        <v>10.03953772</v>
      </c>
      <c r="D245" s="19" t="s">
        <v>504</v>
      </c>
      <c r="E245" s="19" t="s">
        <v>14</v>
      </c>
      <c r="F245" s="19" t="s">
        <v>33</v>
      </c>
      <c r="G245" s="19" t="s">
        <v>34</v>
      </c>
      <c r="H245" s="19" t="s">
        <v>505</v>
      </c>
      <c r="I245" s="19">
        <v>9.7471239999999995</v>
      </c>
      <c r="J245" s="19" t="s">
        <v>331</v>
      </c>
      <c r="K245" s="19" t="s">
        <v>18</v>
      </c>
      <c r="L245" s="19">
        <v>0</v>
      </c>
      <c r="M245" s="34">
        <f t="shared" si="22"/>
        <v>12.184585349255199</v>
      </c>
      <c r="N245" s="19">
        <v>0</v>
      </c>
      <c r="O245" s="34">
        <v>0</v>
      </c>
      <c r="P245" s="34">
        <f t="shared" si="23"/>
        <v>-12.184585349255199</v>
      </c>
      <c r="Q245" s="21">
        <f t="shared" si="26"/>
        <v>12.184585349255199</v>
      </c>
    </row>
    <row r="246" spans="1:17" x14ac:dyDescent="0.25">
      <c r="A246" s="18">
        <v>7345476</v>
      </c>
      <c r="B246" s="19" t="s">
        <v>1357</v>
      </c>
      <c r="C246" s="28">
        <f>I246*3%+I246</f>
        <v>10.03953772</v>
      </c>
      <c r="D246" s="19" t="s">
        <v>504</v>
      </c>
      <c r="E246" s="19" t="s">
        <v>14</v>
      </c>
      <c r="F246" s="19" t="s">
        <v>33</v>
      </c>
      <c r="G246" s="19" t="s">
        <v>34</v>
      </c>
      <c r="H246" s="19" t="s">
        <v>505</v>
      </c>
      <c r="I246" s="19">
        <v>9.7471239999999995</v>
      </c>
      <c r="J246" s="19" t="s">
        <v>331</v>
      </c>
      <c r="K246" s="19" t="s">
        <v>18</v>
      </c>
      <c r="L246" s="19">
        <v>0</v>
      </c>
      <c r="M246" s="34">
        <f t="shared" si="22"/>
        <v>12.184585349255199</v>
      </c>
      <c r="N246" s="19">
        <v>0</v>
      </c>
      <c r="O246" s="34">
        <v>0</v>
      </c>
      <c r="P246" s="34">
        <f t="shared" si="23"/>
        <v>-12.184585349255199</v>
      </c>
      <c r="Q246" s="21">
        <f t="shared" si="26"/>
        <v>12.184585349255199</v>
      </c>
    </row>
    <row r="247" spans="1:17" x14ac:dyDescent="0.25">
      <c r="A247" s="18">
        <v>1677618</v>
      </c>
      <c r="B247" s="19" t="s">
        <v>1358</v>
      </c>
      <c r="C247" s="28">
        <v>41.2</v>
      </c>
      <c r="D247" s="19" t="s">
        <v>32</v>
      </c>
      <c r="E247" s="19" t="s">
        <v>14</v>
      </c>
      <c r="F247" s="19" t="s">
        <v>33</v>
      </c>
      <c r="G247" s="19" t="s">
        <v>34</v>
      </c>
      <c r="H247" s="19" t="s">
        <v>494</v>
      </c>
      <c r="I247" s="19">
        <v>40</v>
      </c>
      <c r="J247" s="19" t="s">
        <v>32</v>
      </c>
      <c r="K247" s="19" t="s">
        <v>18</v>
      </c>
      <c r="L247" s="19">
        <v>0</v>
      </c>
      <c r="M247" s="34">
        <f t="shared" si="22"/>
        <v>50.002791999999999</v>
      </c>
      <c r="N247" s="19">
        <v>0</v>
      </c>
      <c r="O247" s="34">
        <v>0</v>
      </c>
      <c r="P247" s="34">
        <f t="shared" si="23"/>
        <v>-50.002791999999999</v>
      </c>
      <c r="Q247" s="21">
        <f t="shared" si="26"/>
        <v>50.002791999999999</v>
      </c>
    </row>
    <row r="248" spans="1:17" x14ac:dyDescent="0.25">
      <c r="A248" s="18">
        <v>1677636</v>
      </c>
      <c r="B248" s="19" t="s">
        <v>1359</v>
      </c>
      <c r="C248" s="28">
        <v>72.099999999999994</v>
      </c>
      <c r="D248" s="19" t="s">
        <v>32</v>
      </c>
      <c r="E248" s="19" t="s">
        <v>14</v>
      </c>
      <c r="F248" s="19" t="s">
        <v>33</v>
      </c>
      <c r="G248" s="19" t="s">
        <v>34</v>
      </c>
      <c r="H248" s="19" t="s">
        <v>494</v>
      </c>
      <c r="I248" s="19">
        <v>70</v>
      </c>
      <c r="J248" s="19" t="s">
        <v>32</v>
      </c>
      <c r="K248" s="19" t="s">
        <v>18</v>
      </c>
      <c r="L248" s="19">
        <v>0</v>
      </c>
      <c r="M248" s="34">
        <f t="shared" si="22"/>
        <v>87.504885999999985</v>
      </c>
      <c r="N248" s="19">
        <v>0</v>
      </c>
      <c r="O248" s="34">
        <v>0</v>
      </c>
      <c r="P248" s="34">
        <f t="shared" si="23"/>
        <v>-87.504885999999985</v>
      </c>
      <c r="Q248" s="21">
        <f t="shared" si="26"/>
        <v>87.504885999999985</v>
      </c>
    </row>
    <row r="249" spans="1:17" x14ac:dyDescent="0.25">
      <c r="A249" s="18">
        <v>1677736</v>
      </c>
      <c r="B249" s="19" t="s">
        <v>1360</v>
      </c>
      <c r="C249" s="28">
        <v>123.6</v>
      </c>
      <c r="D249" s="19" t="s">
        <v>118</v>
      </c>
      <c r="E249" s="19" t="s">
        <v>14</v>
      </c>
      <c r="F249" s="19" t="s">
        <v>33</v>
      </c>
      <c r="G249" s="19" t="s">
        <v>34</v>
      </c>
      <c r="H249" s="19" t="s">
        <v>494</v>
      </c>
      <c r="I249" s="19">
        <v>120</v>
      </c>
      <c r="J249" s="19" t="s">
        <v>118</v>
      </c>
      <c r="K249" s="19" t="s">
        <v>18</v>
      </c>
      <c r="L249" s="19">
        <v>0</v>
      </c>
      <c r="M249" s="34">
        <f t="shared" si="22"/>
        <v>150.008376</v>
      </c>
      <c r="N249" s="19">
        <v>0</v>
      </c>
      <c r="O249" s="34">
        <v>0</v>
      </c>
      <c r="P249" s="34">
        <f t="shared" si="23"/>
        <v>-150.008376</v>
      </c>
      <c r="Q249" s="21">
        <f t="shared" si="26"/>
        <v>150.008376</v>
      </c>
    </row>
    <row r="250" spans="1:17" x14ac:dyDescent="0.25">
      <c r="A250" s="18">
        <v>1677718</v>
      </c>
      <c r="B250" s="19" t="s">
        <v>1361</v>
      </c>
      <c r="C250" s="28">
        <v>70.040000000000006</v>
      </c>
      <c r="D250" s="19" t="s">
        <v>118</v>
      </c>
      <c r="E250" s="19" t="s">
        <v>14</v>
      </c>
      <c r="F250" s="19" t="s">
        <v>33</v>
      </c>
      <c r="G250" s="19" t="s">
        <v>34</v>
      </c>
      <c r="H250" s="19" t="s">
        <v>494</v>
      </c>
      <c r="I250" s="19">
        <v>68</v>
      </c>
      <c r="J250" s="19" t="s">
        <v>118</v>
      </c>
      <c r="K250" s="19" t="s">
        <v>18</v>
      </c>
      <c r="L250" s="19">
        <v>0</v>
      </c>
      <c r="M250" s="34">
        <f t="shared" si="22"/>
        <v>85.004746400000002</v>
      </c>
      <c r="N250" s="19">
        <v>0</v>
      </c>
      <c r="O250" s="34">
        <v>0</v>
      </c>
      <c r="P250" s="34">
        <f t="shared" si="23"/>
        <v>-85.004746400000002</v>
      </c>
      <c r="Q250" s="21">
        <f t="shared" si="26"/>
        <v>85.004746400000002</v>
      </c>
    </row>
    <row r="251" spans="1:17" x14ac:dyDescent="0.25">
      <c r="A251" s="18">
        <v>1675716</v>
      </c>
      <c r="B251" s="19" t="s">
        <v>1362</v>
      </c>
      <c r="C251" s="28">
        <f>I251*3%+I251</f>
        <v>95.645799999999994</v>
      </c>
      <c r="D251" s="19" t="s">
        <v>242</v>
      </c>
      <c r="E251" s="19" t="s">
        <v>14</v>
      </c>
      <c r="F251" s="19" t="s">
        <v>33</v>
      </c>
      <c r="G251" s="19" t="s">
        <v>34</v>
      </c>
      <c r="H251" s="19" t="s">
        <v>494</v>
      </c>
      <c r="I251" s="19">
        <v>92.86</v>
      </c>
      <c r="J251" s="19" t="s">
        <v>242</v>
      </c>
      <c r="K251" s="19" t="s">
        <v>18</v>
      </c>
      <c r="L251" s="19">
        <v>0</v>
      </c>
      <c r="M251" s="34">
        <f t="shared" si="22"/>
        <v>116.08148162799999</v>
      </c>
      <c r="N251" s="19">
        <v>0</v>
      </c>
      <c r="O251" s="34">
        <v>0</v>
      </c>
      <c r="P251" s="34">
        <f t="shared" si="23"/>
        <v>-116.08148162799999</v>
      </c>
      <c r="Q251" s="21">
        <f t="shared" si="26"/>
        <v>116.08148162799999</v>
      </c>
    </row>
    <row r="252" spans="1:17" x14ac:dyDescent="0.25">
      <c r="A252" s="18">
        <v>1675732</v>
      </c>
      <c r="B252" s="19" t="s">
        <v>1363</v>
      </c>
      <c r="C252" s="28">
        <f t="shared" ref="C252:C274" si="29">I252*3%+I252</f>
        <v>90.7291259</v>
      </c>
      <c r="D252" s="30" t="s">
        <v>32</v>
      </c>
      <c r="E252" s="30" t="s">
        <v>14</v>
      </c>
      <c r="F252" s="30" t="s">
        <v>33</v>
      </c>
      <c r="G252" s="30" t="s">
        <v>34</v>
      </c>
      <c r="H252" s="30" t="s">
        <v>494</v>
      </c>
      <c r="I252" s="30">
        <v>88.086529999999996</v>
      </c>
      <c r="J252" s="30" t="s">
        <v>32</v>
      </c>
      <c r="K252" s="30" t="s">
        <v>18</v>
      </c>
      <c r="L252" s="19">
        <v>0</v>
      </c>
      <c r="M252" s="34">
        <f t="shared" si="22"/>
        <v>110.114310939794</v>
      </c>
      <c r="N252" s="19">
        <v>0</v>
      </c>
      <c r="O252" s="34">
        <v>0</v>
      </c>
      <c r="P252" s="34">
        <f t="shared" si="23"/>
        <v>-110.114310939794</v>
      </c>
      <c r="Q252" s="21">
        <f t="shared" si="26"/>
        <v>110.114310939794</v>
      </c>
    </row>
    <row r="253" spans="1:17" x14ac:dyDescent="0.25">
      <c r="A253" s="18">
        <v>1675832</v>
      </c>
      <c r="B253" s="19" t="s">
        <v>1364</v>
      </c>
      <c r="C253" s="28">
        <f t="shared" si="29"/>
        <v>86.281719799999991</v>
      </c>
      <c r="D253" s="30" t="s">
        <v>118</v>
      </c>
      <c r="E253" s="30" t="s">
        <v>14</v>
      </c>
      <c r="F253" s="30" t="s">
        <v>33</v>
      </c>
      <c r="G253" s="30" t="s">
        <v>34</v>
      </c>
      <c r="H253" s="30" t="s">
        <v>494</v>
      </c>
      <c r="I253" s="30">
        <v>83.768659999999997</v>
      </c>
      <c r="J253" s="30" t="s">
        <v>118</v>
      </c>
      <c r="K253" s="30" t="s">
        <v>18</v>
      </c>
      <c r="L253" s="19">
        <v>0</v>
      </c>
      <c r="M253" s="34">
        <f t="shared" si="22"/>
        <v>104.71667205246798</v>
      </c>
      <c r="N253" s="19">
        <v>0</v>
      </c>
      <c r="O253" s="34">
        <v>0</v>
      </c>
      <c r="P253" s="34">
        <f t="shared" si="23"/>
        <v>-104.71667205246798</v>
      </c>
      <c r="Q253" s="21">
        <f t="shared" si="26"/>
        <v>104.71667205246798</v>
      </c>
    </row>
    <row r="254" spans="1:17" x14ac:dyDescent="0.25">
      <c r="A254" s="18">
        <v>1781150</v>
      </c>
      <c r="B254" s="19" t="s">
        <v>1365</v>
      </c>
      <c r="C254" s="28">
        <f t="shared" si="29"/>
        <v>3.7966830000000003</v>
      </c>
      <c r="D254" s="30" t="s">
        <v>191</v>
      </c>
      <c r="E254" s="30" t="s">
        <v>14</v>
      </c>
      <c r="F254" s="30" t="s">
        <v>33</v>
      </c>
      <c r="G254" s="30" t="s">
        <v>34</v>
      </c>
      <c r="H254" s="30" t="s">
        <v>515</v>
      </c>
      <c r="I254" s="30">
        <v>3.6861000000000002</v>
      </c>
      <c r="J254" s="30" t="s">
        <v>379</v>
      </c>
      <c r="K254" s="30" t="s">
        <v>18</v>
      </c>
      <c r="L254" s="19">
        <v>0</v>
      </c>
      <c r="M254" s="34">
        <f t="shared" si="22"/>
        <v>4.60788228978</v>
      </c>
      <c r="N254" s="19">
        <v>0</v>
      </c>
      <c r="O254" s="34">
        <v>0</v>
      </c>
      <c r="P254" s="34">
        <f t="shared" si="23"/>
        <v>-4.60788228978</v>
      </c>
      <c r="Q254" s="21">
        <f t="shared" si="26"/>
        <v>4.60788228978</v>
      </c>
    </row>
    <row r="255" spans="1:17" x14ac:dyDescent="0.25">
      <c r="A255" s="18">
        <v>76701025002</v>
      </c>
      <c r="B255" s="19" t="s">
        <v>1366</v>
      </c>
      <c r="C255" s="28">
        <f t="shared" si="29"/>
        <v>40.977262499999995</v>
      </c>
      <c r="D255" s="19" t="s">
        <v>13</v>
      </c>
      <c r="E255" s="19" t="s">
        <v>14</v>
      </c>
      <c r="F255" s="19" t="s">
        <v>33</v>
      </c>
      <c r="G255" s="19" t="s">
        <v>34</v>
      </c>
      <c r="H255" s="19" t="s">
        <v>517</v>
      </c>
      <c r="I255" s="19">
        <v>39.783749999999998</v>
      </c>
      <c r="J255" s="19" t="s">
        <v>13</v>
      </c>
      <c r="K255" s="19" t="s">
        <v>18</v>
      </c>
      <c r="L255" s="19">
        <v>0</v>
      </c>
      <c r="M255" s="34">
        <f t="shared" si="22"/>
        <v>49.732464405749994</v>
      </c>
      <c r="N255" s="19">
        <v>0</v>
      </c>
      <c r="O255" s="34">
        <v>0</v>
      </c>
      <c r="P255" s="34">
        <f t="shared" si="23"/>
        <v>-49.732464405749994</v>
      </c>
      <c r="Q255" s="21">
        <f t="shared" si="26"/>
        <v>49.732464405749994</v>
      </c>
    </row>
    <row r="256" spans="1:17" x14ac:dyDescent="0.25">
      <c r="A256" s="18">
        <v>76701061001</v>
      </c>
      <c r="B256" s="19" t="s">
        <v>1367</v>
      </c>
      <c r="C256" s="28">
        <f t="shared" si="29"/>
        <v>0.44615995000000003</v>
      </c>
      <c r="D256" s="19" t="s">
        <v>13</v>
      </c>
      <c r="E256" s="19" t="s">
        <v>14</v>
      </c>
      <c r="F256" s="19" t="s">
        <v>33</v>
      </c>
      <c r="G256" s="19" t="s">
        <v>34</v>
      </c>
      <c r="H256" s="19" t="s">
        <v>519</v>
      </c>
      <c r="I256" s="19">
        <v>0.43316500000000002</v>
      </c>
      <c r="J256" s="19" t="s">
        <v>13</v>
      </c>
      <c r="K256" s="19" t="s">
        <v>18</v>
      </c>
      <c r="L256" s="19">
        <v>0</v>
      </c>
      <c r="M256" s="34">
        <f t="shared" si="22"/>
        <v>0.54148648491700002</v>
      </c>
      <c r="N256" s="19">
        <v>0</v>
      </c>
      <c r="O256" s="34">
        <v>0</v>
      </c>
      <c r="P256" s="34">
        <f t="shared" si="23"/>
        <v>-0.54148648491700002</v>
      </c>
      <c r="Q256" s="21">
        <f t="shared" si="26"/>
        <v>0.54148648491700002</v>
      </c>
    </row>
    <row r="257" spans="1:17" x14ac:dyDescent="0.25">
      <c r="A257" s="18">
        <v>76701082001</v>
      </c>
      <c r="B257" s="19" t="s">
        <v>1368</v>
      </c>
      <c r="C257" s="28">
        <f t="shared" si="29"/>
        <v>83.375070100000002</v>
      </c>
      <c r="D257" s="19" t="s">
        <v>13</v>
      </c>
      <c r="E257" s="19" t="s">
        <v>14</v>
      </c>
      <c r="F257" s="19" t="s">
        <v>33</v>
      </c>
      <c r="G257" s="19" t="s">
        <v>34</v>
      </c>
      <c r="H257" s="19" t="s">
        <v>517</v>
      </c>
      <c r="I257" s="19">
        <v>80.946669999999997</v>
      </c>
      <c r="J257" s="19" t="s">
        <v>13</v>
      </c>
      <c r="K257" s="19" t="s">
        <v>18</v>
      </c>
      <c r="L257" s="19">
        <v>0</v>
      </c>
      <c r="M257" s="34">
        <f t="shared" si="22"/>
        <v>101.188987577566</v>
      </c>
      <c r="N257" s="19">
        <v>0</v>
      </c>
      <c r="O257" s="34">
        <v>0</v>
      </c>
      <c r="P257" s="34">
        <f t="shared" si="23"/>
        <v>-101.188987577566</v>
      </c>
      <c r="Q257" s="21">
        <f t="shared" si="26"/>
        <v>101.188987577566</v>
      </c>
    </row>
    <row r="258" spans="1:17" x14ac:dyDescent="0.25">
      <c r="A258" s="18">
        <v>501199</v>
      </c>
      <c r="B258" s="19" t="s">
        <v>1369</v>
      </c>
      <c r="C258" s="28">
        <f t="shared" si="29"/>
        <v>90.104399999999998</v>
      </c>
      <c r="D258" s="19" t="s">
        <v>191</v>
      </c>
      <c r="E258" s="19"/>
      <c r="F258" s="19" t="s">
        <v>33</v>
      </c>
      <c r="G258" s="19" t="s">
        <v>34</v>
      </c>
      <c r="H258" s="19" t="s">
        <v>517</v>
      </c>
      <c r="I258" s="19">
        <v>87.48</v>
      </c>
      <c r="J258" s="19" t="s">
        <v>191</v>
      </c>
      <c r="K258" s="19" t="s">
        <v>18</v>
      </c>
      <c r="L258" s="19">
        <v>0</v>
      </c>
      <c r="M258" s="34">
        <f t="shared" si="22"/>
        <v>109.35610610399999</v>
      </c>
      <c r="N258" s="19">
        <v>0</v>
      </c>
      <c r="O258" s="34">
        <v>0</v>
      </c>
      <c r="P258" s="34">
        <f t="shared" si="23"/>
        <v>-109.35610610399999</v>
      </c>
      <c r="Q258" s="21">
        <f t="shared" si="26"/>
        <v>109.35610610399999</v>
      </c>
    </row>
    <row r="259" spans="1:17" x14ac:dyDescent="0.25">
      <c r="A259" s="18">
        <v>76701065010</v>
      </c>
      <c r="B259" s="19" t="s">
        <v>1370</v>
      </c>
      <c r="C259" s="28">
        <f t="shared" si="29"/>
        <v>238.08335875999998</v>
      </c>
      <c r="D259" s="19" t="s">
        <v>13</v>
      </c>
      <c r="E259" s="19" t="s">
        <v>14</v>
      </c>
      <c r="F259" s="19" t="s">
        <v>33</v>
      </c>
      <c r="G259" s="19" t="s">
        <v>34</v>
      </c>
      <c r="H259" s="19" t="s">
        <v>519</v>
      </c>
      <c r="I259" s="19">
        <v>231.14889199999999</v>
      </c>
      <c r="J259" s="19" t="s">
        <v>383</v>
      </c>
      <c r="K259" s="19" t="s">
        <v>18</v>
      </c>
      <c r="L259" s="19">
        <v>0</v>
      </c>
      <c r="M259" s="34">
        <f t="shared" si="22"/>
        <v>288.95224919266155</v>
      </c>
      <c r="N259" s="19">
        <v>0</v>
      </c>
      <c r="O259" s="34">
        <v>0</v>
      </c>
      <c r="P259" s="34">
        <f t="shared" si="23"/>
        <v>-288.95224919266155</v>
      </c>
      <c r="Q259" s="21">
        <f t="shared" si="26"/>
        <v>288.95224919266155</v>
      </c>
    </row>
    <row r="260" spans="1:17" x14ac:dyDescent="0.25">
      <c r="A260" s="18">
        <v>76701065009</v>
      </c>
      <c r="B260" s="19" t="s">
        <v>1371</v>
      </c>
      <c r="C260" s="28">
        <f t="shared" si="29"/>
        <v>115.26084396</v>
      </c>
      <c r="D260" s="19" t="s">
        <v>13</v>
      </c>
      <c r="E260" s="19" t="s">
        <v>14</v>
      </c>
      <c r="F260" s="19" t="s">
        <v>33</v>
      </c>
      <c r="G260" s="19" t="s">
        <v>34</v>
      </c>
      <c r="H260" s="19" t="s">
        <v>519</v>
      </c>
      <c r="I260" s="19">
        <v>111.90373200000001</v>
      </c>
      <c r="J260" s="19" t="s">
        <v>383</v>
      </c>
      <c r="K260" s="19" t="s">
        <v>18</v>
      </c>
      <c r="L260" s="19">
        <v>0</v>
      </c>
      <c r="M260" s="34">
        <f t="shared" ref="M260:M323" si="30">C260*1.21366</f>
        <v>139.88747588049361</v>
      </c>
      <c r="N260" s="19">
        <v>0</v>
      </c>
      <c r="O260" s="34">
        <v>0</v>
      </c>
      <c r="P260" s="34">
        <f t="shared" ref="P260:P323" si="31">O260-M260</f>
        <v>-139.88747588049361</v>
      </c>
      <c r="Q260" s="21">
        <f t="shared" si="26"/>
        <v>139.88747588049361</v>
      </c>
    </row>
    <row r="261" spans="1:17" x14ac:dyDescent="0.25">
      <c r="A261" s="18">
        <v>76701065008</v>
      </c>
      <c r="B261" s="19" t="s">
        <v>1372</v>
      </c>
      <c r="C261" s="28">
        <f t="shared" si="29"/>
        <v>92.947358620000003</v>
      </c>
      <c r="D261" s="19" t="s">
        <v>13</v>
      </c>
      <c r="E261" s="19" t="s">
        <v>14</v>
      </c>
      <c r="F261" s="19" t="s">
        <v>33</v>
      </c>
      <c r="G261" s="19" t="s">
        <v>34</v>
      </c>
      <c r="H261" s="19" t="s">
        <v>519</v>
      </c>
      <c r="I261" s="19">
        <v>90.240154000000004</v>
      </c>
      <c r="J261" s="19" t="s">
        <v>383</v>
      </c>
      <c r="K261" s="19" t="s">
        <v>18</v>
      </c>
      <c r="L261" s="19">
        <v>0</v>
      </c>
      <c r="M261" s="34">
        <f t="shared" si="30"/>
        <v>112.8064912627492</v>
      </c>
      <c r="N261" s="19">
        <v>0</v>
      </c>
      <c r="O261" s="34">
        <v>0</v>
      </c>
      <c r="P261" s="34">
        <f t="shared" si="31"/>
        <v>-112.8064912627492</v>
      </c>
      <c r="Q261" s="21">
        <f t="shared" si="26"/>
        <v>112.8064912627492</v>
      </c>
    </row>
    <row r="262" spans="1:17" x14ac:dyDescent="0.25">
      <c r="A262" s="18">
        <v>76626015001</v>
      </c>
      <c r="B262" s="19" t="s">
        <v>1373</v>
      </c>
      <c r="C262" s="28">
        <f t="shared" si="29"/>
        <v>12.122378999999999</v>
      </c>
      <c r="D262" s="19" t="s">
        <v>191</v>
      </c>
      <c r="E262" s="19" t="s">
        <v>14</v>
      </c>
      <c r="F262" s="19" t="s">
        <v>33</v>
      </c>
      <c r="G262" s="19" t="s">
        <v>34</v>
      </c>
      <c r="H262" s="19" t="s">
        <v>526</v>
      </c>
      <c r="I262" s="19">
        <v>11.769299999999999</v>
      </c>
      <c r="J262" s="19" t="s">
        <v>527</v>
      </c>
      <c r="K262" s="19" t="s">
        <v>18</v>
      </c>
      <c r="L262" s="19">
        <v>0</v>
      </c>
      <c r="M262" s="34">
        <f t="shared" si="30"/>
        <v>14.712446497139998</v>
      </c>
      <c r="N262" s="19">
        <v>0</v>
      </c>
      <c r="O262" s="34">
        <v>0</v>
      </c>
      <c r="P262" s="34">
        <f t="shared" si="31"/>
        <v>-14.712446497139998</v>
      </c>
      <c r="Q262" s="21">
        <f t="shared" si="26"/>
        <v>14.712446497139998</v>
      </c>
    </row>
    <row r="263" spans="1:17" x14ac:dyDescent="0.25">
      <c r="A263" s="18">
        <v>76702181003</v>
      </c>
      <c r="B263" s="19" t="s">
        <v>1374</v>
      </c>
      <c r="C263" s="28">
        <f t="shared" si="29"/>
        <v>540.66646700000001</v>
      </c>
      <c r="D263" s="19" t="s">
        <v>191</v>
      </c>
      <c r="E263" s="19" t="s">
        <v>14</v>
      </c>
      <c r="F263" s="19" t="s">
        <v>33</v>
      </c>
      <c r="G263" s="19" t="s">
        <v>34</v>
      </c>
      <c r="H263" s="19" t="s">
        <v>392</v>
      </c>
      <c r="I263" s="19">
        <v>524.91890000000001</v>
      </c>
      <c r="J263" s="19" t="s">
        <v>191</v>
      </c>
      <c r="K263" s="19" t="s">
        <v>18</v>
      </c>
      <c r="L263" s="19">
        <v>0</v>
      </c>
      <c r="M263" s="34">
        <f t="shared" si="30"/>
        <v>656.18526433922</v>
      </c>
      <c r="N263" s="19">
        <v>0</v>
      </c>
      <c r="O263" s="34">
        <v>0</v>
      </c>
      <c r="P263" s="34">
        <f t="shared" si="31"/>
        <v>-656.18526433922</v>
      </c>
      <c r="Q263" s="21">
        <f t="shared" si="26"/>
        <v>656.18526433922</v>
      </c>
    </row>
    <row r="264" spans="1:17" x14ac:dyDescent="0.25">
      <c r="A264" s="18">
        <v>76628020006</v>
      </c>
      <c r="B264" s="19" t="s">
        <v>1375</v>
      </c>
      <c r="C264" s="28">
        <f t="shared" si="29"/>
        <v>0</v>
      </c>
      <c r="D264" s="19" t="s">
        <v>191</v>
      </c>
      <c r="E264" s="19" t="s">
        <v>14</v>
      </c>
      <c r="F264" s="19" t="s">
        <v>33</v>
      </c>
      <c r="G264" s="19" t="s">
        <v>34</v>
      </c>
      <c r="H264" s="19" t="s">
        <v>526</v>
      </c>
      <c r="I264" s="19"/>
      <c r="J264" s="19" t="s">
        <v>527</v>
      </c>
      <c r="K264" s="19" t="s">
        <v>18</v>
      </c>
      <c r="L264" s="19">
        <v>0</v>
      </c>
      <c r="M264" s="34">
        <f t="shared" si="30"/>
        <v>0</v>
      </c>
      <c r="N264" s="19">
        <v>0</v>
      </c>
      <c r="O264" s="34">
        <v>0</v>
      </c>
      <c r="P264" s="34">
        <f t="shared" si="31"/>
        <v>0</v>
      </c>
      <c r="Q264" s="21">
        <f t="shared" si="26"/>
        <v>0</v>
      </c>
    </row>
    <row r="265" spans="1:17" x14ac:dyDescent="0.25">
      <c r="A265" s="18">
        <v>76613320021</v>
      </c>
      <c r="B265" s="19" t="s">
        <v>1376</v>
      </c>
      <c r="C265" s="28">
        <f t="shared" si="29"/>
        <v>801.94770000000005</v>
      </c>
      <c r="D265" s="19" t="s">
        <v>191</v>
      </c>
      <c r="E265" s="19" t="s">
        <v>14</v>
      </c>
      <c r="F265" s="19" t="s">
        <v>33</v>
      </c>
      <c r="G265" s="19" t="s">
        <v>34</v>
      </c>
      <c r="H265" s="19" t="s">
        <v>526</v>
      </c>
      <c r="I265" s="19">
        <v>778.59</v>
      </c>
      <c r="J265" s="19" t="s">
        <v>191</v>
      </c>
      <c r="K265" s="19" t="s">
        <v>18</v>
      </c>
      <c r="L265" s="19">
        <v>0</v>
      </c>
      <c r="M265" s="34">
        <f t="shared" si="30"/>
        <v>973.29184558200006</v>
      </c>
      <c r="N265" s="19">
        <v>0</v>
      </c>
      <c r="O265" s="34">
        <v>0</v>
      </c>
      <c r="P265" s="34">
        <f t="shared" si="31"/>
        <v>-973.29184558200006</v>
      </c>
      <c r="Q265" s="21">
        <f t="shared" si="26"/>
        <v>973.29184558200006</v>
      </c>
    </row>
    <row r="266" spans="1:17" x14ac:dyDescent="0.25">
      <c r="A266" s="18">
        <v>76627020011</v>
      </c>
      <c r="B266" s="19" t="s">
        <v>1377</v>
      </c>
      <c r="C266" s="28">
        <f t="shared" si="29"/>
        <v>13.10179673</v>
      </c>
      <c r="D266" s="19" t="s">
        <v>191</v>
      </c>
      <c r="E266" s="19" t="s">
        <v>14</v>
      </c>
      <c r="F266" s="19" t="s">
        <v>33</v>
      </c>
      <c r="G266" s="19" t="s">
        <v>34</v>
      </c>
      <c r="H266" s="19" t="s">
        <v>526</v>
      </c>
      <c r="I266" s="19">
        <v>12.720191</v>
      </c>
      <c r="J266" s="19" t="s">
        <v>527</v>
      </c>
      <c r="K266" s="19" t="s">
        <v>18</v>
      </c>
      <c r="L266" s="19">
        <v>0</v>
      </c>
      <c r="M266" s="34">
        <f t="shared" si="30"/>
        <v>15.9011266193318</v>
      </c>
      <c r="N266" s="19">
        <v>0</v>
      </c>
      <c r="O266" s="34">
        <v>0</v>
      </c>
      <c r="P266" s="34">
        <f t="shared" si="31"/>
        <v>-15.9011266193318</v>
      </c>
      <c r="Q266" s="21">
        <f t="shared" si="26"/>
        <v>15.9011266193318</v>
      </c>
    </row>
    <row r="267" spans="1:17" x14ac:dyDescent="0.25">
      <c r="A267" s="18">
        <v>76627021005</v>
      </c>
      <c r="B267" s="19" t="s">
        <v>1378</v>
      </c>
      <c r="C267" s="28">
        <f t="shared" si="29"/>
        <v>0</v>
      </c>
      <c r="D267" s="19" t="s">
        <v>191</v>
      </c>
      <c r="E267" s="19" t="s">
        <v>14</v>
      </c>
      <c r="F267" s="19" t="s">
        <v>33</v>
      </c>
      <c r="G267" s="19" t="s">
        <v>34</v>
      </c>
      <c r="H267" s="19" t="s">
        <v>526</v>
      </c>
      <c r="I267" s="19"/>
      <c r="J267" s="19" t="s">
        <v>191</v>
      </c>
      <c r="K267" s="19" t="s">
        <v>18</v>
      </c>
      <c r="L267" s="19">
        <v>0</v>
      </c>
      <c r="M267" s="34">
        <f t="shared" si="30"/>
        <v>0</v>
      </c>
      <c r="N267" s="19">
        <v>0</v>
      </c>
      <c r="O267" s="34">
        <v>0</v>
      </c>
      <c r="P267" s="34">
        <f t="shared" si="31"/>
        <v>0</v>
      </c>
      <c r="Q267" s="21">
        <f t="shared" si="26"/>
        <v>0</v>
      </c>
    </row>
    <row r="268" spans="1:17" x14ac:dyDescent="0.25">
      <c r="A268" s="18">
        <v>76701090038</v>
      </c>
      <c r="B268" s="19" t="s">
        <v>1379</v>
      </c>
      <c r="C268" s="28">
        <f t="shared" si="29"/>
        <v>422.34429</v>
      </c>
      <c r="D268" s="19" t="s">
        <v>191</v>
      </c>
      <c r="E268" s="19" t="s">
        <v>14</v>
      </c>
      <c r="F268" s="19" t="s">
        <v>33</v>
      </c>
      <c r="G268" s="19" t="s">
        <v>34</v>
      </c>
      <c r="H268" s="19" t="s">
        <v>392</v>
      </c>
      <c r="I268" s="19">
        <v>410.04300000000001</v>
      </c>
      <c r="J268" s="19" t="s">
        <v>191</v>
      </c>
      <c r="K268" s="19" t="s">
        <v>18</v>
      </c>
      <c r="L268" s="19">
        <v>0</v>
      </c>
      <c r="M268" s="34">
        <f t="shared" si="30"/>
        <v>512.58237100140002</v>
      </c>
      <c r="N268" s="19">
        <v>0</v>
      </c>
      <c r="O268" s="34">
        <v>0</v>
      </c>
      <c r="P268" s="34">
        <f t="shared" si="31"/>
        <v>-512.58237100140002</v>
      </c>
      <c r="Q268" s="21">
        <f t="shared" si="26"/>
        <v>512.58237100140002</v>
      </c>
    </row>
    <row r="269" spans="1:17" x14ac:dyDescent="0.25">
      <c r="A269" s="18">
        <v>76701090013</v>
      </c>
      <c r="B269" s="19" t="s">
        <v>1380</v>
      </c>
      <c r="C269" s="28">
        <f t="shared" si="29"/>
        <v>16.37997773</v>
      </c>
      <c r="D269" s="19" t="s">
        <v>191</v>
      </c>
      <c r="E269" s="19" t="s">
        <v>14</v>
      </c>
      <c r="F269" s="19" t="s">
        <v>33</v>
      </c>
      <c r="G269" s="19" t="s">
        <v>34</v>
      </c>
      <c r="H269" s="19" t="s">
        <v>392</v>
      </c>
      <c r="I269" s="19">
        <v>15.902891</v>
      </c>
      <c r="J269" s="19" t="s">
        <v>379</v>
      </c>
      <c r="K269" s="19" t="s">
        <v>18</v>
      </c>
      <c r="L269" s="19">
        <v>0</v>
      </c>
      <c r="M269" s="34">
        <f t="shared" si="30"/>
        <v>19.879723771791799</v>
      </c>
      <c r="N269" s="19">
        <v>0</v>
      </c>
      <c r="O269" s="34">
        <v>0</v>
      </c>
      <c r="P269" s="34">
        <f t="shared" si="31"/>
        <v>-19.879723771791799</v>
      </c>
      <c r="Q269" s="21">
        <f t="shared" si="26"/>
        <v>19.879723771791799</v>
      </c>
    </row>
    <row r="270" spans="1:17" x14ac:dyDescent="0.25">
      <c r="A270" s="18">
        <v>76701090051</v>
      </c>
      <c r="B270" s="19" t="s">
        <v>1381</v>
      </c>
      <c r="C270" s="28">
        <f t="shared" si="29"/>
        <v>101.25863977</v>
      </c>
      <c r="D270" s="19" t="s">
        <v>13</v>
      </c>
      <c r="E270" s="19" t="s">
        <v>14</v>
      </c>
      <c r="F270" s="19" t="s">
        <v>33</v>
      </c>
      <c r="G270" s="19" t="s">
        <v>34</v>
      </c>
      <c r="H270" s="19" t="s">
        <v>392</v>
      </c>
      <c r="I270" s="19">
        <v>98.309359000000001</v>
      </c>
      <c r="J270" s="19" t="s">
        <v>13</v>
      </c>
      <c r="K270" s="19" t="s">
        <v>18</v>
      </c>
      <c r="L270" s="19">
        <v>0</v>
      </c>
      <c r="M270" s="34">
        <f t="shared" si="30"/>
        <v>122.89356074325819</v>
      </c>
      <c r="N270" s="19">
        <v>0</v>
      </c>
      <c r="O270" s="34">
        <v>0</v>
      </c>
      <c r="P270" s="34">
        <f t="shared" si="31"/>
        <v>-122.89356074325819</v>
      </c>
      <c r="Q270" s="21">
        <f t="shared" si="26"/>
        <v>122.89356074325819</v>
      </c>
    </row>
    <row r="271" spans="1:17" x14ac:dyDescent="0.25">
      <c r="A271" s="18">
        <v>76701090029</v>
      </c>
      <c r="B271" s="19" t="s">
        <v>1382</v>
      </c>
      <c r="C271" s="28">
        <f t="shared" si="29"/>
        <v>0</v>
      </c>
      <c r="D271" s="19" t="s">
        <v>13</v>
      </c>
      <c r="E271" s="19" t="s">
        <v>14</v>
      </c>
      <c r="F271" s="19" t="s">
        <v>33</v>
      </c>
      <c r="G271" s="19" t="s">
        <v>34</v>
      </c>
      <c r="H271" s="19" t="s">
        <v>392</v>
      </c>
      <c r="I271" s="19"/>
      <c r="J271" s="19" t="s">
        <v>13</v>
      </c>
      <c r="K271" s="19" t="s">
        <v>18</v>
      </c>
      <c r="L271" s="19">
        <v>0</v>
      </c>
      <c r="M271" s="34">
        <f t="shared" si="30"/>
        <v>0</v>
      </c>
      <c r="N271" s="19">
        <v>0</v>
      </c>
      <c r="O271" s="34">
        <v>0</v>
      </c>
      <c r="P271" s="34">
        <f t="shared" si="31"/>
        <v>0</v>
      </c>
      <c r="Q271" s="21">
        <f t="shared" si="26"/>
        <v>0</v>
      </c>
    </row>
    <row r="272" spans="1:17" x14ac:dyDescent="0.25">
      <c r="A272" s="18">
        <v>76701090028</v>
      </c>
      <c r="B272" s="19" t="s">
        <v>1383</v>
      </c>
      <c r="C272" s="28">
        <f t="shared" si="29"/>
        <v>0</v>
      </c>
      <c r="D272" s="19" t="s">
        <v>13</v>
      </c>
      <c r="E272" s="19" t="s">
        <v>14</v>
      </c>
      <c r="F272" s="19" t="s">
        <v>33</v>
      </c>
      <c r="G272" s="19" t="s">
        <v>34</v>
      </c>
      <c r="H272" s="19" t="s">
        <v>392</v>
      </c>
      <c r="I272" s="19"/>
      <c r="J272" s="19" t="s">
        <v>13</v>
      </c>
      <c r="K272" s="19" t="s">
        <v>18</v>
      </c>
      <c r="L272" s="19">
        <v>0</v>
      </c>
      <c r="M272" s="34">
        <f t="shared" si="30"/>
        <v>0</v>
      </c>
      <c r="N272" s="19">
        <v>0</v>
      </c>
      <c r="O272" s="34">
        <v>0</v>
      </c>
      <c r="P272" s="34">
        <f t="shared" si="31"/>
        <v>0</v>
      </c>
      <c r="Q272" s="21">
        <f t="shared" si="26"/>
        <v>0</v>
      </c>
    </row>
    <row r="273" spans="1:17" x14ac:dyDescent="0.25">
      <c r="A273" s="18">
        <v>76701090018</v>
      </c>
      <c r="B273" s="19" t="s">
        <v>1384</v>
      </c>
      <c r="C273" s="28">
        <f t="shared" si="29"/>
        <v>0</v>
      </c>
      <c r="D273" s="19" t="s">
        <v>191</v>
      </c>
      <c r="E273" s="19" t="s">
        <v>14</v>
      </c>
      <c r="F273" s="19" t="s">
        <v>33</v>
      </c>
      <c r="G273" s="19" t="s">
        <v>34</v>
      </c>
      <c r="H273" s="19" t="s">
        <v>392</v>
      </c>
      <c r="I273" s="19"/>
      <c r="J273" s="19" t="s">
        <v>379</v>
      </c>
      <c r="K273" s="19" t="s">
        <v>18</v>
      </c>
      <c r="L273" s="19">
        <v>0</v>
      </c>
      <c r="M273" s="34">
        <f t="shared" si="30"/>
        <v>0</v>
      </c>
      <c r="N273" s="19">
        <v>0</v>
      </c>
      <c r="O273" s="34">
        <v>0</v>
      </c>
      <c r="P273" s="34">
        <f t="shared" si="31"/>
        <v>0</v>
      </c>
      <c r="Q273" s="21">
        <f t="shared" si="26"/>
        <v>0</v>
      </c>
    </row>
    <row r="274" spans="1:17" x14ac:dyDescent="0.25">
      <c r="A274" s="18">
        <v>76701090012</v>
      </c>
      <c r="B274" s="19" t="s">
        <v>1385</v>
      </c>
      <c r="C274" s="28">
        <f t="shared" si="29"/>
        <v>32.805500000000002</v>
      </c>
      <c r="D274" s="19" t="s">
        <v>191</v>
      </c>
      <c r="E274" s="19" t="s">
        <v>14</v>
      </c>
      <c r="F274" s="19" t="s">
        <v>33</v>
      </c>
      <c r="G274" s="19" t="s">
        <v>34</v>
      </c>
      <c r="H274" s="19" t="s">
        <v>392</v>
      </c>
      <c r="I274" s="19">
        <v>31.85</v>
      </c>
      <c r="J274" s="19" t="s">
        <v>379</v>
      </c>
      <c r="K274" s="19" t="s">
        <v>18</v>
      </c>
      <c r="L274" s="19">
        <v>0</v>
      </c>
      <c r="M274" s="34">
        <f t="shared" si="30"/>
        <v>39.814723130000004</v>
      </c>
      <c r="N274" s="19">
        <v>0</v>
      </c>
      <c r="O274" s="34">
        <v>0</v>
      </c>
      <c r="P274" s="34">
        <f t="shared" si="31"/>
        <v>-39.814723130000004</v>
      </c>
      <c r="Q274" s="21">
        <f t="shared" si="26"/>
        <v>39.814723130000004</v>
      </c>
    </row>
    <row r="275" spans="1:17" x14ac:dyDescent="0.25">
      <c r="A275" s="18">
        <v>2826820</v>
      </c>
      <c r="B275" s="19" t="s">
        <v>1386</v>
      </c>
      <c r="C275" s="28">
        <v>400</v>
      </c>
      <c r="D275" s="19" t="s">
        <v>191</v>
      </c>
      <c r="E275" s="19" t="s">
        <v>14</v>
      </c>
      <c r="F275" s="19" t="s">
        <v>33</v>
      </c>
      <c r="G275" s="19" t="s">
        <v>34</v>
      </c>
      <c r="H275" s="19" t="s">
        <v>250</v>
      </c>
      <c r="I275" s="19">
        <v>24.517499999999998</v>
      </c>
      <c r="J275" s="19" t="s">
        <v>527</v>
      </c>
      <c r="K275" s="19" t="s">
        <v>18</v>
      </c>
      <c r="L275" s="19">
        <v>0</v>
      </c>
      <c r="M275" s="34">
        <f t="shared" si="30"/>
        <v>485.464</v>
      </c>
      <c r="N275" s="19">
        <v>0</v>
      </c>
      <c r="O275" s="34">
        <v>0</v>
      </c>
      <c r="P275" s="34">
        <f t="shared" si="31"/>
        <v>-485.464</v>
      </c>
      <c r="Q275" s="21">
        <f t="shared" si="26"/>
        <v>485.464</v>
      </c>
    </row>
    <row r="276" spans="1:17" x14ac:dyDescent="0.25">
      <c r="A276" s="18">
        <v>2829620</v>
      </c>
      <c r="B276" s="19" t="s">
        <v>1387</v>
      </c>
      <c r="C276" s="28">
        <v>400</v>
      </c>
      <c r="D276" s="19" t="s">
        <v>527</v>
      </c>
      <c r="E276" s="19" t="s">
        <v>14</v>
      </c>
      <c r="F276" s="19" t="s">
        <v>33</v>
      </c>
      <c r="G276" s="19" t="s">
        <v>34</v>
      </c>
      <c r="H276" s="19" t="s">
        <v>250</v>
      </c>
      <c r="I276" s="19">
        <v>500</v>
      </c>
      <c r="J276" s="19" t="s">
        <v>191</v>
      </c>
      <c r="K276" s="19" t="s">
        <v>18</v>
      </c>
      <c r="L276" s="19">
        <v>0</v>
      </c>
      <c r="M276" s="34">
        <f t="shared" si="30"/>
        <v>485.464</v>
      </c>
      <c r="N276" s="19">
        <v>0</v>
      </c>
      <c r="O276" s="34">
        <v>0</v>
      </c>
      <c r="P276" s="34">
        <f t="shared" si="31"/>
        <v>-485.464</v>
      </c>
      <c r="Q276" s="21">
        <f t="shared" si="26"/>
        <v>485.464</v>
      </c>
    </row>
    <row r="277" spans="1:17" x14ac:dyDescent="0.25">
      <c r="A277" s="18">
        <v>2824421</v>
      </c>
      <c r="B277" s="19" t="s">
        <v>1388</v>
      </c>
      <c r="C277" s="28">
        <f>I277*3%+I277</f>
        <v>26.515702000000001</v>
      </c>
      <c r="D277" s="19" t="s">
        <v>191</v>
      </c>
      <c r="E277" s="19" t="s">
        <v>14</v>
      </c>
      <c r="F277" s="19" t="s">
        <v>33</v>
      </c>
      <c r="G277" s="19" t="s">
        <v>34</v>
      </c>
      <c r="H277" s="19" t="s">
        <v>250</v>
      </c>
      <c r="I277" s="19">
        <v>25.743400000000001</v>
      </c>
      <c r="J277" s="19" t="s">
        <v>527</v>
      </c>
      <c r="K277" s="19" t="s">
        <v>18</v>
      </c>
      <c r="L277" s="19">
        <v>0</v>
      </c>
      <c r="M277" s="34">
        <f t="shared" si="30"/>
        <v>32.181046889320001</v>
      </c>
      <c r="N277" s="19">
        <v>0</v>
      </c>
      <c r="O277" s="34">
        <v>0</v>
      </c>
      <c r="P277" s="34">
        <f t="shared" si="31"/>
        <v>-32.181046889320001</v>
      </c>
      <c r="Q277" s="21">
        <f t="shared" si="26"/>
        <v>32.181046889320001</v>
      </c>
    </row>
    <row r="278" spans="1:17" x14ac:dyDescent="0.25">
      <c r="A278" s="18">
        <v>2827780</v>
      </c>
      <c r="B278" s="19" t="s">
        <v>1389</v>
      </c>
      <c r="C278" s="28">
        <v>240</v>
      </c>
      <c r="D278" s="19" t="s">
        <v>191</v>
      </c>
      <c r="E278" s="19" t="s">
        <v>14</v>
      </c>
      <c r="F278" s="19" t="s">
        <v>33</v>
      </c>
      <c r="G278" s="19" t="s">
        <v>34</v>
      </c>
      <c r="H278" s="19" t="s">
        <v>250</v>
      </c>
      <c r="I278" s="19">
        <v>240</v>
      </c>
      <c r="J278" s="19" t="s">
        <v>383</v>
      </c>
      <c r="K278" s="19" t="s">
        <v>18</v>
      </c>
      <c r="L278" s="19">
        <v>0</v>
      </c>
      <c r="M278" s="34">
        <f t="shared" si="30"/>
        <v>291.27839999999998</v>
      </c>
      <c r="N278" s="19">
        <v>0</v>
      </c>
      <c r="O278" s="34">
        <v>0</v>
      </c>
      <c r="P278" s="34">
        <f t="shared" si="31"/>
        <v>-291.27839999999998</v>
      </c>
      <c r="Q278" s="21">
        <f t="shared" si="26"/>
        <v>291.27839999999998</v>
      </c>
    </row>
    <row r="279" spans="1:17" x14ac:dyDescent="0.25">
      <c r="A279" s="18">
        <v>2829720</v>
      </c>
      <c r="B279" s="19" t="s">
        <v>1390</v>
      </c>
      <c r="C279" s="28">
        <v>162.22999999999999</v>
      </c>
      <c r="D279" s="19" t="s">
        <v>191</v>
      </c>
      <c r="E279" s="19" t="s">
        <v>14</v>
      </c>
      <c r="F279" s="19" t="s">
        <v>33</v>
      </c>
      <c r="G279" s="19" t="s">
        <v>34</v>
      </c>
      <c r="H279" s="19" t="s">
        <v>250</v>
      </c>
      <c r="I279" s="19">
        <v>157.5</v>
      </c>
      <c r="J279" s="19" t="s">
        <v>191</v>
      </c>
      <c r="K279" s="19" t="s">
        <v>18</v>
      </c>
      <c r="L279" s="19">
        <v>0</v>
      </c>
      <c r="M279" s="34">
        <f t="shared" si="30"/>
        <v>196.89206179999999</v>
      </c>
      <c r="N279" s="19">
        <v>0</v>
      </c>
      <c r="O279" s="34">
        <v>0</v>
      </c>
      <c r="P279" s="34">
        <f t="shared" si="31"/>
        <v>-196.89206179999999</v>
      </c>
      <c r="Q279" s="21">
        <f t="shared" si="26"/>
        <v>196.89206179999999</v>
      </c>
    </row>
    <row r="280" spans="1:17" x14ac:dyDescent="0.25">
      <c r="A280" s="18">
        <v>2820379</v>
      </c>
      <c r="B280" s="19" t="s">
        <v>1391</v>
      </c>
      <c r="C280" s="28">
        <v>0.11</v>
      </c>
      <c r="D280" s="19" t="s">
        <v>13</v>
      </c>
      <c r="E280" s="19" t="s">
        <v>14</v>
      </c>
      <c r="F280" s="19" t="s">
        <v>33</v>
      </c>
      <c r="G280" s="19" t="s">
        <v>34</v>
      </c>
      <c r="H280" s="19" t="s">
        <v>155</v>
      </c>
      <c r="I280" s="19">
        <v>0.11</v>
      </c>
      <c r="J280" s="19" t="s">
        <v>13</v>
      </c>
      <c r="K280" s="19" t="s">
        <v>18</v>
      </c>
      <c r="L280" s="19">
        <v>0</v>
      </c>
      <c r="M280" s="34">
        <f t="shared" si="30"/>
        <v>0.1335026</v>
      </c>
      <c r="N280" s="19">
        <v>0</v>
      </c>
      <c r="O280" s="34">
        <v>0</v>
      </c>
      <c r="P280" s="34">
        <f t="shared" si="31"/>
        <v>-0.1335026</v>
      </c>
      <c r="Q280" s="21">
        <f t="shared" si="26"/>
        <v>0.1335026</v>
      </c>
    </row>
    <row r="281" spans="1:17" x14ac:dyDescent="0.25">
      <c r="A281" s="18">
        <v>2828620</v>
      </c>
      <c r="B281" s="19" t="s">
        <v>1392</v>
      </c>
      <c r="C281" s="28">
        <v>400</v>
      </c>
      <c r="D281" s="19" t="s">
        <v>191</v>
      </c>
      <c r="E281" s="19" t="s">
        <v>14</v>
      </c>
      <c r="F281" s="19" t="s">
        <v>33</v>
      </c>
      <c r="G281" s="19" t="s">
        <v>34</v>
      </c>
      <c r="H281" s="19" t="s">
        <v>250</v>
      </c>
      <c r="I281" s="19">
        <v>29.0625</v>
      </c>
      <c r="J281" s="19" t="s">
        <v>191</v>
      </c>
      <c r="K281" s="19" t="s">
        <v>18</v>
      </c>
      <c r="L281" s="19">
        <v>0</v>
      </c>
      <c r="M281" s="34">
        <f t="shared" si="30"/>
        <v>485.464</v>
      </c>
      <c r="N281" s="19">
        <v>0</v>
      </c>
      <c r="O281" s="34">
        <v>0</v>
      </c>
      <c r="P281" s="34">
        <f t="shared" si="31"/>
        <v>-485.464</v>
      </c>
      <c r="Q281" s="21">
        <f t="shared" si="26"/>
        <v>485.464</v>
      </c>
    </row>
    <row r="282" spans="1:17" x14ac:dyDescent="0.25">
      <c r="A282" s="18">
        <v>2824520</v>
      </c>
      <c r="B282" s="19" t="s">
        <v>1393</v>
      </c>
      <c r="C282" s="28">
        <v>335</v>
      </c>
      <c r="D282" s="19" t="s">
        <v>191</v>
      </c>
      <c r="E282" s="19" t="s">
        <v>14</v>
      </c>
      <c r="F282" s="19" t="s">
        <v>33</v>
      </c>
      <c r="G282" s="19" t="s">
        <v>34</v>
      </c>
      <c r="H282" s="19" t="s">
        <v>250</v>
      </c>
      <c r="I282" s="19">
        <v>21</v>
      </c>
      <c r="J282" s="19" t="s">
        <v>527</v>
      </c>
      <c r="K282" s="19" t="s">
        <v>18</v>
      </c>
      <c r="L282" s="19">
        <v>0</v>
      </c>
      <c r="M282" s="34">
        <f t="shared" si="30"/>
        <v>406.5761</v>
      </c>
      <c r="N282" s="19">
        <v>0</v>
      </c>
      <c r="O282" s="34">
        <v>0</v>
      </c>
      <c r="P282" s="34">
        <f t="shared" si="31"/>
        <v>-406.5761</v>
      </c>
      <c r="Q282" s="21">
        <f t="shared" si="26"/>
        <v>406.5761</v>
      </c>
    </row>
    <row r="283" spans="1:17" x14ac:dyDescent="0.25">
      <c r="A283" s="18">
        <v>2827420</v>
      </c>
      <c r="B283" s="19" t="s">
        <v>1394</v>
      </c>
      <c r="C283" s="28">
        <v>180</v>
      </c>
      <c r="D283" s="19" t="s">
        <v>383</v>
      </c>
      <c r="E283" s="19" t="s">
        <v>14</v>
      </c>
      <c r="F283" s="19" t="s">
        <v>33</v>
      </c>
      <c r="G283" s="19" t="s">
        <v>34</v>
      </c>
      <c r="H283" s="19" t="s">
        <v>250</v>
      </c>
      <c r="I283" s="19">
        <v>10.180999999999999</v>
      </c>
      <c r="J283" s="19" t="s">
        <v>379</v>
      </c>
      <c r="K283" s="19" t="s">
        <v>18</v>
      </c>
      <c r="L283" s="19">
        <v>0</v>
      </c>
      <c r="M283" s="34">
        <f t="shared" si="30"/>
        <v>218.4588</v>
      </c>
      <c r="N283" s="19">
        <v>0</v>
      </c>
      <c r="O283" s="34">
        <v>0</v>
      </c>
      <c r="P283" s="34">
        <f t="shared" si="31"/>
        <v>-218.4588</v>
      </c>
      <c r="Q283" s="21">
        <f t="shared" ref="Q283:Q346" si="32">C283*1.21366</f>
        <v>218.4588</v>
      </c>
    </row>
    <row r="284" spans="1:17" x14ac:dyDescent="0.25">
      <c r="A284" s="18">
        <v>2826325</v>
      </c>
      <c r="B284" s="19" t="s">
        <v>1395</v>
      </c>
      <c r="C284" s="28">
        <v>146.26</v>
      </c>
      <c r="D284" s="19" t="s">
        <v>383</v>
      </c>
      <c r="E284" s="19" t="s">
        <v>14</v>
      </c>
      <c r="F284" s="19" t="s">
        <v>33</v>
      </c>
      <c r="G284" s="19" t="s">
        <v>34</v>
      </c>
      <c r="H284" s="19" t="s">
        <v>250</v>
      </c>
      <c r="I284" s="19">
        <v>5.68</v>
      </c>
      <c r="J284" s="19" t="s">
        <v>379</v>
      </c>
      <c r="K284" s="19" t="s">
        <v>18</v>
      </c>
      <c r="L284" s="19">
        <v>0</v>
      </c>
      <c r="M284" s="34">
        <f t="shared" si="30"/>
        <v>177.50991159999998</v>
      </c>
      <c r="N284" s="19">
        <v>0</v>
      </c>
      <c r="O284" s="34">
        <v>0</v>
      </c>
      <c r="P284" s="34">
        <f t="shared" si="31"/>
        <v>-177.50991159999998</v>
      </c>
      <c r="Q284" s="21">
        <f t="shared" si="32"/>
        <v>177.50991159999998</v>
      </c>
    </row>
    <row r="285" spans="1:17" x14ac:dyDescent="0.25">
      <c r="A285" s="18">
        <v>2828805</v>
      </c>
      <c r="B285" s="19" t="s">
        <v>1396</v>
      </c>
      <c r="C285" s="28">
        <v>102</v>
      </c>
      <c r="D285" s="19" t="s">
        <v>191</v>
      </c>
      <c r="E285" s="19" t="s">
        <v>14</v>
      </c>
      <c r="F285" s="19" t="s">
        <v>33</v>
      </c>
      <c r="G285" s="19" t="s">
        <v>34</v>
      </c>
      <c r="H285" s="19" t="s">
        <v>155</v>
      </c>
      <c r="I285" s="19">
        <v>105</v>
      </c>
      <c r="J285" s="19" t="s">
        <v>191</v>
      </c>
      <c r="K285" s="19" t="s">
        <v>18</v>
      </c>
      <c r="L285" s="19">
        <v>0</v>
      </c>
      <c r="M285" s="34">
        <f t="shared" si="30"/>
        <v>123.79331999999999</v>
      </c>
      <c r="N285" s="19">
        <v>0</v>
      </c>
      <c r="O285" s="34">
        <v>0</v>
      </c>
      <c r="P285" s="34">
        <f t="shared" si="31"/>
        <v>-123.79331999999999</v>
      </c>
      <c r="Q285" s="21">
        <f t="shared" si="32"/>
        <v>123.79331999999999</v>
      </c>
    </row>
    <row r="286" spans="1:17" x14ac:dyDescent="0.25">
      <c r="A286" s="18">
        <v>2822804</v>
      </c>
      <c r="B286" s="19" t="s">
        <v>1397</v>
      </c>
      <c r="C286" s="28">
        <v>85</v>
      </c>
      <c r="D286" s="19" t="s">
        <v>242</v>
      </c>
      <c r="E286" s="19" t="s">
        <v>14</v>
      </c>
      <c r="F286" s="19" t="s">
        <v>33</v>
      </c>
      <c r="G286" s="19" t="s">
        <v>34</v>
      </c>
      <c r="H286" s="19" t="s">
        <v>318</v>
      </c>
      <c r="I286" s="19">
        <v>29.4</v>
      </c>
      <c r="J286" s="19" t="s">
        <v>331</v>
      </c>
      <c r="K286" s="19" t="s">
        <v>18</v>
      </c>
      <c r="L286" s="19">
        <v>0</v>
      </c>
      <c r="M286" s="34">
        <f t="shared" si="30"/>
        <v>103.16109999999999</v>
      </c>
      <c r="N286" s="19">
        <v>0</v>
      </c>
      <c r="O286" s="34">
        <v>0</v>
      </c>
      <c r="P286" s="34">
        <f t="shared" si="31"/>
        <v>-103.16109999999999</v>
      </c>
      <c r="Q286" s="21">
        <f t="shared" si="32"/>
        <v>103.16109999999999</v>
      </c>
    </row>
    <row r="287" spans="1:17" x14ac:dyDescent="0.25">
      <c r="A287" s="18">
        <v>2821015</v>
      </c>
      <c r="B287" s="19" t="s">
        <v>1398</v>
      </c>
      <c r="C287" s="28">
        <v>205.65</v>
      </c>
      <c r="D287" s="19" t="s">
        <v>111</v>
      </c>
      <c r="E287" s="19" t="s">
        <v>14</v>
      </c>
      <c r="F287" s="19" t="s">
        <v>33</v>
      </c>
      <c r="G287" s="19" t="s">
        <v>34</v>
      </c>
      <c r="H287" s="19" t="s">
        <v>155</v>
      </c>
      <c r="I287" s="19">
        <v>13.314082000000001</v>
      </c>
      <c r="J287" s="19" t="s">
        <v>331</v>
      </c>
      <c r="K287" s="19" t="s">
        <v>18</v>
      </c>
      <c r="L287" s="19">
        <v>0</v>
      </c>
      <c r="M287" s="34">
        <f t="shared" si="30"/>
        <v>249.589179</v>
      </c>
      <c r="N287" s="19">
        <v>0</v>
      </c>
      <c r="O287" s="34">
        <v>0</v>
      </c>
      <c r="P287" s="34">
        <f t="shared" si="31"/>
        <v>-249.589179</v>
      </c>
      <c r="Q287" s="21">
        <f t="shared" si="32"/>
        <v>249.589179</v>
      </c>
    </row>
    <row r="288" spans="1:17" x14ac:dyDescent="0.25">
      <c r="A288" s="18">
        <v>2826910</v>
      </c>
      <c r="B288" s="19" t="s">
        <v>1399</v>
      </c>
      <c r="C288" s="28">
        <v>175</v>
      </c>
      <c r="D288" s="19" t="s">
        <v>111</v>
      </c>
      <c r="E288" s="19" t="s">
        <v>14</v>
      </c>
      <c r="F288" s="19" t="s">
        <v>33</v>
      </c>
      <c r="G288" s="19" t="s">
        <v>34</v>
      </c>
      <c r="H288" s="19" t="s">
        <v>250</v>
      </c>
      <c r="I288" s="19">
        <v>18.899999999999999</v>
      </c>
      <c r="J288" s="19" t="s">
        <v>331</v>
      </c>
      <c r="K288" s="19" t="s">
        <v>18</v>
      </c>
      <c r="L288" s="19">
        <v>0</v>
      </c>
      <c r="M288" s="34">
        <f t="shared" si="30"/>
        <v>212.3905</v>
      </c>
      <c r="N288" s="19">
        <v>0</v>
      </c>
      <c r="O288" s="34">
        <v>0</v>
      </c>
      <c r="P288" s="34">
        <f t="shared" si="31"/>
        <v>-212.3905</v>
      </c>
      <c r="Q288" s="21">
        <f t="shared" si="32"/>
        <v>212.3905</v>
      </c>
    </row>
    <row r="289" spans="1:17" x14ac:dyDescent="0.25">
      <c r="A289" s="18">
        <v>2826420</v>
      </c>
      <c r="B289" s="19" t="s">
        <v>1400</v>
      </c>
      <c r="C289" s="28">
        <f>I289*3%+I289</f>
        <v>5.4868100000000002</v>
      </c>
      <c r="D289" s="19" t="s">
        <v>383</v>
      </c>
      <c r="E289" s="19" t="s">
        <v>14</v>
      </c>
      <c r="F289" s="19" t="s">
        <v>33</v>
      </c>
      <c r="G289" s="19" t="s">
        <v>34</v>
      </c>
      <c r="H289" s="19" t="s">
        <v>250</v>
      </c>
      <c r="I289" s="19">
        <v>5.327</v>
      </c>
      <c r="J289" s="19" t="s">
        <v>379</v>
      </c>
      <c r="K289" s="19" t="s">
        <v>18</v>
      </c>
      <c r="L289" s="19">
        <v>0</v>
      </c>
      <c r="M289" s="34">
        <f t="shared" si="30"/>
        <v>6.6591218245999997</v>
      </c>
      <c r="N289" s="19">
        <v>0</v>
      </c>
      <c r="O289" s="34">
        <v>0</v>
      </c>
      <c r="P289" s="34">
        <f t="shared" si="31"/>
        <v>-6.6591218245999997</v>
      </c>
      <c r="Q289" s="21">
        <f t="shared" si="32"/>
        <v>6.6591218245999997</v>
      </c>
    </row>
    <row r="290" spans="1:17" x14ac:dyDescent="0.25">
      <c r="A290" s="18">
        <v>2829425</v>
      </c>
      <c r="B290" s="19" t="s">
        <v>1401</v>
      </c>
      <c r="C290" s="28">
        <f>I290*3%+I290</f>
        <v>5.4074999999999998</v>
      </c>
      <c r="D290" s="19" t="s">
        <v>32</v>
      </c>
      <c r="E290" s="19" t="s">
        <v>14</v>
      </c>
      <c r="F290" s="19" t="s">
        <v>33</v>
      </c>
      <c r="G290" s="19" t="s">
        <v>34</v>
      </c>
      <c r="H290" s="19" t="s">
        <v>155</v>
      </c>
      <c r="I290" s="19">
        <v>5.25</v>
      </c>
      <c r="J290" s="19" t="s">
        <v>331</v>
      </c>
      <c r="K290" s="19" t="s">
        <v>18</v>
      </c>
      <c r="L290" s="19">
        <v>0</v>
      </c>
      <c r="M290" s="34">
        <f t="shared" si="30"/>
        <v>6.5628664499999996</v>
      </c>
      <c r="N290" s="19">
        <v>0</v>
      </c>
      <c r="O290" s="34">
        <v>0</v>
      </c>
      <c r="P290" s="34">
        <f t="shared" si="31"/>
        <v>-6.5628664499999996</v>
      </c>
      <c r="Q290" s="21">
        <f t="shared" si="32"/>
        <v>6.5628664499999996</v>
      </c>
    </row>
    <row r="291" spans="1:17" x14ac:dyDescent="0.25">
      <c r="A291" s="18">
        <v>2821126</v>
      </c>
      <c r="B291" s="19" t="s">
        <v>1402</v>
      </c>
      <c r="C291" s="28">
        <v>30.9</v>
      </c>
      <c r="D291" s="19" t="s">
        <v>124</v>
      </c>
      <c r="E291" s="19" t="s">
        <v>14</v>
      </c>
      <c r="F291" s="19" t="s">
        <v>33</v>
      </c>
      <c r="G291" s="19" t="s">
        <v>34</v>
      </c>
      <c r="H291" s="19" t="s">
        <v>180</v>
      </c>
      <c r="I291" s="19">
        <v>30</v>
      </c>
      <c r="J291" s="19" t="s">
        <v>124</v>
      </c>
      <c r="K291" s="19" t="s">
        <v>18</v>
      </c>
      <c r="L291" s="19">
        <v>0</v>
      </c>
      <c r="M291" s="34">
        <f t="shared" si="30"/>
        <v>37.502094</v>
      </c>
      <c r="N291" s="19">
        <v>0</v>
      </c>
      <c r="O291" s="34">
        <v>0</v>
      </c>
      <c r="P291" s="34">
        <f t="shared" si="31"/>
        <v>-37.502094</v>
      </c>
      <c r="Q291" s="21">
        <f t="shared" si="32"/>
        <v>37.502094</v>
      </c>
    </row>
    <row r="292" spans="1:17" x14ac:dyDescent="0.25">
      <c r="A292" s="18">
        <v>2802150</v>
      </c>
      <c r="B292" s="19" t="s">
        <v>1403</v>
      </c>
      <c r="C292" s="28">
        <f>I292*3%+I292</f>
        <v>149.35</v>
      </c>
      <c r="D292" s="19" t="s">
        <v>191</v>
      </c>
      <c r="E292" s="19"/>
      <c r="F292" s="19" t="s">
        <v>33</v>
      </c>
      <c r="G292" s="19" t="s">
        <v>34</v>
      </c>
      <c r="H292" s="19" t="s">
        <v>515</v>
      </c>
      <c r="I292" s="19">
        <v>145</v>
      </c>
      <c r="J292" s="19" t="s">
        <v>191</v>
      </c>
      <c r="K292" s="19" t="s">
        <v>18</v>
      </c>
      <c r="L292" s="19">
        <v>0</v>
      </c>
      <c r="M292" s="34">
        <f t="shared" si="30"/>
        <v>181.260121</v>
      </c>
      <c r="N292" s="19">
        <v>0</v>
      </c>
      <c r="O292" s="34">
        <v>0</v>
      </c>
      <c r="P292" s="34">
        <f t="shared" si="31"/>
        <v>-181.260121</v>
      </c>
      <c r="Q292" s="21">
        <f t="shared" si="32"/>
        <v>181.260121</v>
      </c>
    </row>
    <row r="293" spans="1:17" x14ac:dyDescent="0.25">
      <c r="A293" s="18">
        <v>2802250</v>
      </c>
      <c r="B293" s="19" t="s">
        <v>1404</v>
      </c>
      <c r="C293" s="28">
        <f>I293*3%+I293</f>
        <v>133.9</v>
      </c>
      <c r="D293" s="19" t="s">
        <v>191</v>
      </c>
      <c r="E293" s="19"/>
      <c r="F293" s="19" t="s">
        <v>33</v>
      </c>
      <c r="G293" s="19" t="s">
        <v>34</v>
      </c>
      <c r="H293" s="19" t="s">
        <v>515</v>
      </c>
      <c r="I293" s="19">
        <v>130</v>
      </c>
      <c r="J293" s="19" t="s">
        <v>191</v>
      </c>
      <c r="K293" s="19" t="s">
        <v>18</v>
      </c>
      <c r="L293" s="19">
        <v>0</v>
      </c>
      <c r="M293" s="34">
        <f t="shared" si="30"/>
        <v>162.509074</v>
      </c>
      <c r="N293" s="19">
        <v>0</v>
      </c>
      <c r="O293" s="34">
        <v>0</v>
      </c>
      <c r="P293" s="34">
        <f t="shared" si="31"/>
        <v>-162.509074</v>
      </c>
      <c r="Q293" s="21">
        <f t="shared" si="32"/>
        <v>162.509074</v>
      </c>
    </row>
    <row r="294" spans="1:17" x14ac:dyDescent="0.25">
      <c r="A294" s="18">
        <v>2801225</v>
      </c>
      <c r="B294" s="19" t="s">
        <v>1405</v>
      </c>
      <c r="C294" s="28">
        <v>43.26</v>
      </c>
      <c r="D294" s="19" t="s">
        <v>191</v>
      </c>
      <c r="E294" s="19" t="s">
        <v>14</v>
      </c>
      <c r="F294" s="19" t="s">
        <v>33</v>
      </c>
      <c r="G294" s="19" t="s">
        <v>34</v>
      </c>
      <c r="H294" s="19" t="s">
        <v>515</v>
      </c>
      <c r="I294" s="19">
        <v>1.68</v>
      </c>
      <c r="J294" s="19" t="s">
        <v>379</v>
      </c>
      <c r="K294" s="19" t="s">
        <v>18</v>
      </c>
      <c r="L294" s="19">
        <v>0</v>
      </c>
      <c r="M294" s="34">
        <f t="shared" si="30"/>
        <v>52.502931599999997</v>
      </c>
      <c r="N294" s="19">
        <v>0</v>
      </c>
      <c r="O294" s="34">
        <v>0</v>
      </c>
      <c r="P294" s="34">
        <f t="shared" si="31"/>
        <v>-52.502931599999997</v>
      </c>
      <c r="Q294" s="21">
        <f t="shared" si="32"/>
        <v>52.502931599999997</v>
      </c>
    </row>
    <row r="295" spans="1:17" x14ac:dyDescent="0.25">
      <c r="A295" s="18">
        <v>2816950</v>
      </c>
      <c r="B295" s="19" t="s">
        <v>1406</v>
      </c>
      <c r="C295" s="28">
        <v>151.41</v>
      </c>
      <c r="D295" s="19" t="s">
        <v>191</v>
      </c>
      <c r="E295" s="19" t="s">
        <v>14</v>
      </c>
      <c r="F295" s="19" t="s">
        <v>33</v>
      </c>
      <c r="G295" s="19" t="s">
        <v>34</v>
      </c>
      <c r="H295" s="19" t="s">
        <v>515</v>
      </c>
      <c r="I295" s="19">
        <v>2.94</v>
      </c>
      <c r="J295" s="19" t="s">
        <v>527</v>
      </c>
      <c r="K295" s="19" t="s">
        <v>18</v>
      </c>
      <c r="L295" s="19">
        <v>2816950</v>
      </c>
      <c r="M295" s="34">
        <f t="shared" si="30"/>
        <v>183.76026059999998</v>
      </c>
      <c r="N295" s="19">
        <v>0</v>
      </c>
      <c r="O295" s="34">
        <v>0</v>
      </c>
      <c r="P295" s="34">
        <f t="shared" si="31"/>
        <v>-183.76026059999998</v>
      </c>
      <c r="Q295" s="21">
        <f t="shared" si="32"/>
        <v>183.76026059999998</v>
      </c>
    </row>
    <row r="296" spans="1:17" x14ac:dyDescent="0.25">
      <c r="A296" s="18">
        <v>2816950</v>
      </c>
      <c r="B296" s="19" t="s">
        <v>1406</v>
      </c>
      <c r="C296" s="28">
        <f>I296*3%+I296</f>
        <v>3.605</v>
      </c>
      <c r="D296" s="19" t="s">
        <v>191</v>
      </c>
      <c r="E296" s="19" t="s">
        <v>14</v>
      </c>
      <c r="F296" s="19" t="s">
        <v>33</v>
      </c>
      <c r="G296" s="19" t="s">
        <v>34</v>
      </c>
      <c r="H296" s="19" t="s">
        <v>515</v>
      </c>
      <c r="I296" s="19">
        <v>3.5</v>
      </c>
      <c r="J296" s="19" t="s">
        <v>527</v>
      </c>
      <c r="K296" s="19" t="s">
        <v>18</v>
      </c>
      <c r="L296" s="19">
        <v>2816950</v>
      </c>
      <c r="M296" s="34">
        <f t="shared" si="30"/>
        <v>4.3752442999999994</v>
      </c>
      <c r="N296" s="19">
        <v>0</v>
      </c>
      <c r="O296" s="34">
        <v>0</v>
      </c>
      <c r="P296" s="34">
        <f t="shared" si="31"/>
        <v>-4.3752442999999994</v>
      </c>
      <c r="Q296" s="21">
        <f t="shared" si="32"/>
        <v>4.3752442999999994</v>
      </c>
    </row>
    <row r="297" spans="1:17" x14ac:dyDescent="0.25">
      <c r="A297" s="18">
        <v>2816325</v>
      </c>
      <c r="B297" s="19" t="s">
        <v>1407</v>
      </c>
      <c r="C297" s="28">
        <v>182.8</v>
      </c>
      <c r="D297" s="19" t="s">
        <v>527</v>
      </c>
      <c r="E297" s="19" t="s">
        <v>14</v>
      </c>
      <c r="F297" s="19" t="s">
        <v>33</v>
      </c>
      <c r="G297" s="19" t="s">
        <v>34</v>
      </c>
      <c r="H297" s="19" t="s">
        <v>515</v>
      </c>
      <c r="I297" s="19">
        <v>7.0991999999999997</v>
      </c>
      <c r="J297" s="19" t="s">
        <v>527</v>
      </c>
      <c r="K297" s="19" t="s">
        <v>18</v>
      </c>
      <c r="L297" s="19">
        <v>0</v>
      </c>
      <c r="M297" s="20">
        <f t="shared" si="30"/>
        <v>221.85704800000002</v>
      </c>
      <c r="N297" s="19">
        <v>0</v>
      </c>
      <c r="O297" s="20">
        <v>0</v>
      </c>
      <c r="P297" s="20">
        <f t="shared" si="31"/>
        <v>-221.85704800000002</v>
      </c>
      <c r="Q297" s="21">
        <f t="shared" si="32"/>
        <v>221.85704800000002</v>
      </c>
    </row>
    <row r="298" spans="1:17" x14ac:dyDescent="0.25">
      <c r="A298" s="18" t="s">
        <v>562</v>
      </c>
      <c r="B298" s="19" t="s">
        <v>1408</v>
      </c>
      <c r="C298" s="28">
        <v>170</v>
      </c>
      <c r="D298" s="19" t="s">
        <v>191</v>
      </c>
      <c r="E298" s="19"/>
      <c r="F298" s="19" t="s">
        <v>33</v>
      </c>
      <c r="G298" s="19" t="s">
        <v>34</v>
      </c>
      <c r="H298" s="19" t="s">
        <v>564</v>
      </c>
      <c r="I298" s="19">
        <v>178.5</v>
      </c>
      <c r="J298" s="19" t="s">
        <v>191</v>
      </c>
      <c r="K298" s="19" t="s">
        <v>18</v>
      </c>
      <c r="L298" s="19">
        <v>0</v>
      </c>
      <c r="M298" s="34">
        <f t="shared" si="30"/>
        <v>206.32219999999998</v>
      </c>
      <c r="N298" s="19">
        <v>0</v>
      </c>
      <c r="O298" s="34">
        <v>0</v>
      </c>
      <c r="P298" s="34">
        <f t="shared" si="31"/>
        <v>-206.32219999999998</v>
      </c>
      <c r="Q298" s="21">
        <f t="shared" si="32"/>
        <v>206.32219999999998</v>
      </c>
    </row>
    <row r="299" spans="1:17" x14ac:dyDescent="0.25">
      <c r="A299" s="18" t="s">
        <v>565</v>
      </c>
      <c r="B299" s="19" t="s">
        <v>1409</v>
      </c>
      <c r="C299" s="28">
        <v>220</v>
      </c>
      <c r="D299" s="19" t="s">
        <v>191</v>
      </c>
      <c r="E299" s="19" t="s">
        <v>14</v>
      </c>
      <c r="F299" s="19" t="s">
        <v>33</v>
      </c>
      <c r="G299" s="19" t="s">
        <v>34</v>
      </c>
      <c r="H299" s="19" t="s">
        <v>564</v>
      </c>
      <c r="I299" s="19">
        <v>283.8</v>
      </c>
      <c r="J299" s="19" t="s">
        <v>191</v>
      </c>
      <c r="K299" s="19" t="s">
        <v>18</v>
      </c>
      <c r="L299" s="19">
        <v>0</v>
      </c>
      <c r="M299" s="34">
        <f t="shared" si="30"/>
        <v>267.0052</v>
      </c>
      <c r="N299" s="19">
        <v>0</v>
      </c>
      <c r="O299" s="34">
        <v>0</v>
      </c>
      <c r="P299" s="34">
        <f t="shared" si="31"/>
        <v>-267.0052</v>
      </c>
      <c r="Q299" s="21">
        <f t="shared" si="32"/>
        <v>267.0052</v>
      </c>
    </row>
    <row r="300" spans="1:17" x14ac:dyDescent="0.25">
      <c r="A300" s="18">
        <v>7344505</v>
      </c>
      <c r="B300" s="19" t="s">
        <v>1410</v>
      </c>
      <c r="C300" s="28">
        <v>18</v>
      </c>
      <c r="D300" s="19" t="s">
        <v>111</v>
      </c>
      <c r="E300" s="19" t="s">
        <v>14</v>
      </c>
      <c r="F300" s="19" t="s">
        <v>33</v>
      </c>
      <c r="G300" s="19" t="s">
        <v>34</v>
      </c>
      <c r="H300" s="19" t="s">
        <v>377</v>
      </c>
      <c r="I300" s="19">
        <v>4.1180000000000003</v>
      </c>
      <c r="J300" s="19" t="s">
        <v>331</v>
      </c>
      <c r="K300" s="19" t="s">
        <v>18</v>
      </c>
      <c r="L300" s="19">
        <v>0</v>
      </c>
      <c r="M300" s="34">
        <f t="shared" si="30"/>
        <v>21.845880000000001</v>
      </c>
      <c r="N300" s="19">
        <v>0</v>
      </c>
      <c r="O300" s="34">
        <v>0</v>
      </c>
      <c r="P300" s="34">
        <f t="shared" si="31"/>
        <v>-21.845880000000001</v>
      </c>
      <c r="Q300" s="21">
        <f t="shared" si="32"/>
        <v>21.845880000000001</v>
      </c>
    </row>
    <row r="301" spans="1:17" x14ac:dyDescent="0.25">
      <c r="A301" s="18">
        <v>7344910</v>
      </c>
      <c r="B301" s="19" t="s">
        <v>1411</v>
      </c>
      <c r="C301" s="28">
        <v>113</v>
      </c>
      <c r="D301" s="19" t="s">
        <v>111</v>
      </c>
      <c r="E301" s="19" t="s">
        <v>14</v>
      </c>
      <c r="F301" s="19" t="s">
        <v>33</v>
      </c>
      <c r="G301" s="19" t="s">
        <v>34</v>
      </c>
      <c r="H301" s="19" t="s">
        <v>377</v>
      </c>
      <c r="I301" s="19">
        <v>110.25</v>
      </c>
      <c r="J301" s="19" t="s">
        <v>111</v>
      </c>
      <c r="K301" s="19" t="s">
        <v>18</v>
      </c>
      <c r="L301" s="19">
        <v>0</v>
      </c>
      <c r="M301" s="34">
        <f t="shared" si="30"/>
        <v>137.14357999999999</v>
      </c>
      <c r="N301" s="19">
        <v>0</v>
      </c>
      <c r="O301" s="34">
        <v>0</v>
      </c>
      <c r="P301" s="34">
        <f t="shared" si="31"/>
        <v>-137.14357999999999</v>
      </c>
      <c r="Q301" s="21">
        <f t="shared" si="32"/>
        <v>137.14357999999999</v>
      </c>
    </row>
    <row r="302" spans="1:17" x14ac:dyDescent="0.25">
      <c r="A302" s="18" t="s">
        <v>569</v>
      </c>
      <c r="B302" s="19" t="s">
        <v>1412</v>
      </c>
      <c r="C302" s="28">
        <f>I302*3%+I302</f>
        <v>56.021700000000003</v>
      </c>
      <c r="D302" s="19" t="s">
        <v>118</v>
      </c>
      <c r="E302" s="19" t="s">
        <v>244</v>
      </c>
      <c r="F302" s="19" t="s">
        <v>571</v>
      </c>
      <c r="G302" s="19" t="s">
        <v>572</v>
      </c>
      <c r="H302" s="19" t="s">
        <v>573</v>
      </c>
      <c r="I302" s="19">
        <v>54.39</v>
      </c>
      <c r="J302" s="19" t="s">
        <v>118</v>
      </c>
      <c r="K302" s="19" t="s">
        <v>18</v>
      </c>
      <c r="L302" s="19" t="s">
        <v>569</v>
      </c>
      <c r="M302" s="34">
        <f t="shared" si="30"/>
        <v>67.991296422000005</v>
      </c>
      <c r="N302" s="19">
        <v>0</v>
      </c>
      <c r="O302" s="34">
        <v>0</v>
      </c>
      <c r="P302" s="34">
        <f t="shared" si="31"/>
        <v>-67.991296422000005</v>
      </c>
      <c r="Q302" s="21">
        <f t="shared" si="32"/>
        <v>67.991296422000005</v>
      </c>
    </row>
    <row r="303" spans="1:17" x14ac:dyDescent="0.25">
      <c r="A303" s="18" t="s">
        <v>574</v>
      </c>
      <c r="B303" s="19" t="s">
        <v>1413</v>
      </c>
      <c r="C303" s="28">
        <f t="shared" ref="C303:C313" si="33">I303*3%+I303</f>
        <v>10.815</v>
      </c>
      <c r="D303" s="19" t="s">
        <v>334</v>
      </c>
      <c r="E303" s="19" t="s">
        <v>244</v>
      </c>
      <c r="F303" s="19" t="s">
        <v>571</v>
      </c>
      <c r="G303" s="19" t="s">
        <v>572</v>
      </c>
      <c r="H303" s="19" t="s">
        <v>573</v>
      </c>
      <c r="I303" s="19">
        <v>10.5</v>
      </c>
      <c r="J303" s="19" t="s">
        <v>334</v>
      </c>
      <c r="K303" s="19" t="s">
        <v>18</v>
      </c>
      <c r="L303" s="19" t="s">
        <v>574</v>
      </c>
      <c r="M303" s="34">
        <f t="shared" si="30"/>
        <v>13.125732899999999</v>
      </c>
      <c r="N303" s="19">
        <v>0</v>
      </c>
      <c r="O303" s="34">
        <v>0</v>
      </c>
      <c r="P303" s="34">
        <f t="shared" si="31"/>
        <v>-13.125732899999999</v>
      </c>
      <c r="Q303" s="21">
        <f t="shared" si="32"/>
        <v>13.125732899999999</v>
      </c>
    </row>
    <row r="304" spans="1:17" x14ac:dyDescent="0.25">
      <c r="A304" s="18" t="s">
        <v>576</v>
      </c>
      <c r="B304" s="19" t="s">
        <v>1414</v>
      </c>
      <c r="C304" s="28">
        <f t="shared" si="33"/>
        <v>32.445</v>
      </c>
      <c r="D304" s="19" t="s">
        <v>118</v>
      </c>
      <c r="E304" s="19" t="s">
        <v>244</v>
      </c>
      <c r="F304" s="19" t="s">
        <v>571</v>
      </c>
      <c r="G304" s="19" t="s">
        <v>572</v>
      </c>
      <c r="H304" s="19" t="s">
        <v>573</v>
      </c>
      <c r="I304" s="19">
        <v>31.5</v>
      </c>
      <c r="J304" s="19" t="s">
        <v>118</v>
      </c>
      <c r="K304" s="19" t="s">
        <v>18</v>
      </c>
      <c r="L304" s="19" t="s">
        <v>576</v>
      </c>
      <c r="M304" s="34">
        <f t="shared" si="30"/>
        <v>39.377198700000001</v>
      </c>
      <c r="N304" s="19">
        <v>0</v>
      </c>
      <c r="O304" s="34">
        <v>0</v>
      </c>
      <c r="P304" s="34">
        <f t="shared" si="31"/>
        <v>-39.377198700000001</v>
      </c>
      <c r="Q304" s="21">
        <f t="shared" si="32"/>
        <v>39.377198700000001</v>
      </c>
    </row>
    <row r="305" spans="1:17" x14ac:dyDescent="0.25">
      <c r="A305" s="18" t="s">
        <v>578</v>
      </c>
      <c r="B305" s="19" t="s">
        <v>1415</v>
      </c>
      <c r="C305" s="28">
        <f t="shared" si="33"/>
        <v>24.874499999999998</v>
      </c>
      <c r="D305" s="19" t="s">
        <v>13</v>
      </c>
      <c r="E305" s="19" t="s">
        <v>14</v>
      </c>
      <c r="F305" s="19" t="s">
        <v>131</v>
      </c>
      <c r="G305" s="19" t="s">
        <v>132</v>
      </c>
      <c r="H305" s="19" t="s">
        <v>435</v>
      </c>
      <c r="I305" s="19">
        <v>24.15</v>
      </c>
      <c r="J305" s="19" t="s">
        <v>13</v>
      </c>
      <c r="K305" s="19" t="s">
        <v>18</v>
      </c>
      <c r="L305" s="19" t="s">
        <v>578</v>
      </c>
      <c r="M305" s="34">
        <f t="shared" si="30"/>
        <v>30.189185669999997</v>
      </c>
      <c r="N305" s="19">
        <v>0</v>
      </c>
      <c r="O305" s="34">
        <v>0</v>
      </c>
      <c r="P305" s="34">
        <f t="shared" si="31"/>
        <v>-30.189185669999997</v>
      </c>
      <c r="Q305" s="21">
        <f t="shared" si="32"/>
        <v>30.189185669999997</v>
      </c>
    </row>
    <row r="306" spans="1:17" x14ac:dyDescent="0.25">
      <c r="A306" s="18" t="s">
        <v>580</v>
      </c>
      <c r="B306" s="19" t="s">
        <v>1416</v>
      </c>
      <c r="C306" s="28">
        <f t="shared" si="33"/>
        <v>30.374699999999997</v>
      </c>
      <c r="D306" s="19" t="s">
        <v>334</v>
      </c>
      <c r="E306" s="19" t="s">
        <v>14</v>
      </c>
      <c r="F306" s="19" t="s">
        <v>131</v>
      </c>
      <c r="G306" s="19" t="s">
        <v>132</v>
      </c>
      <c r="H306" s="19" t="s">
        <v>435</v>
      </c>
      <c r="I306" s="19">
        <v>29.49</v>
      </c>
      <c r="J306" s="19" t="s">
        <v>334</v>
      </c>
      <c r="K306" s="19" t="s">
        <v>18</v>
      </c>
      <c r="L306" s="19" t="s">
        <v>580</v>
      </c>
      <c r="M306" s="34">
        <f t="shared" si="30"/>
        <v>36.864558401999993</v>
      </c>
      <c r="N306" s="19">
        <v>0</v>
      </c>
      <c r="O306" s="34">
        <v>0</v>
      </c>
      <c r="P306" s="34">
        <f t="shared" si="31"/>
        <v>-36.864558401999993</v>
      </c>
      <c r="Q306" s="21">
        <f t="shared" si="32"/>
        <v>36.864558401999993</v>
      </c>
    </row>
    <row r="307" spans="1:17" x14ac:dyDescent="0.25">
      <c r="A307" s="18" t="s">
        <v>582</v>
      </c>
      <c r="B307" s="19" t="s">
        <v>1417</v>
      </c>
      <c r="C307" s="28">
        <f t="shared" si="33"/>
        <v>19.322800000000001</v>
      </c>
      <c r="D307" s="19" t="s">
        <v>334</v>
      </c>
      <c r="E307" s="19" t="s">
        <v>14</v>
      </c>
      <c r="F307" s="19" t="s">
        <v>131</v>
      </c>
      <c r="G307" s="19" t="s">
        <v>132</v>
      </c>
      <c r="H307" s="19" t="s">
        <v>435</v>
      </c>
      <c r="I307" s="19">
        <v>18.760000000000002</v>
      </c>
      <c r="J307" s="19" t="s">
        <v>334</v>
      </c>
      <c r="K307" s="19" t="s">
        <v>18</v>
      </c>
      <c r="L307" s="19" t="s">
        <v>582</v>
      </c>
      <c r="M307" s="34">
        <f t="shared" si="30"/>
        <v>23.451309448</v>
      </c>
      <c r="N307" s="19">
        <v>0</v>
      </c>
      <c r="O307" s="34">
        <v>0</v>
      </c>
      <c r="P307" s="34">
        <f t="shared" si="31"/>
        <v>-23.451309448</v>
      </c>
      <c r="Q307" s="21">
        <f t="shared" si="32"/>
        <v>23.451309448</v>
      </c>
    </row>
    <row r="308" spans="1:17" x14ac:dyDescent="0.25">
      <c r="A308" s="18" t="s">
        <v>584</v>
      </c>
      <c r="B308" s="19" t="s">
        <v>1418</v>
      </c>
      <c r="C308" s="28">
        <f t="shared" si="33"/>
        <v>44.156099999999995</v>
      </c>
      <c r="D308" s="19" t="s">
        <v>118</v>
      </c>
      <c r="E308" s="19" t="s">
        <v>14</v>
      </c>
      <c r="F308" s="19" t="s">
        <v>15</v>
      </c>
      <c r="G308" s="19" t="s">
        <v>16</v>
      </c>
      <c r="H308" s="19" t="s">
        <v>17</v>
      </c>
      <c r="I308" s="19">
        <v>42.87</v>
      </c>
      <c r="J308" s="19" t="s">
        <v>118</v>
      </c>
      <c r="K308" s="19" t="s">
        <v>18</v>
      </c>
      <c r="L308" s="19" t="s">
        <v>584</v>
      </c>
      <c r="M308" s="34">
        <f t="shared" si="30"/>
        <v>53.590492325999989</v>
      </c>
      <c r="N308" s="19" t="s">
        <v>584</v>
      </c>
      <c r="O308" s="34">
        <v>53.590899999999998</v>
      </c>
      <c r="P308" s="34">
        <f t="shared" si="31"/>
        <v>4.0767400000873977E-4</v>
      </c>
      <c r="Q308" s="21">
        <f t="shared" si="32"/>
        <v>53.590492325999989</v>
      </c>
    </row>
    <row r="309" spans="1:17" x14ac:dyDescent="0.25">
      <c r="A309" s="18" t="s">
        <v>586</v>
      </c>
      <c r="B309" s="19" t="s">
        <v>1419</v>
      </c>
      <c r="C309" s="28">
        <f t="shared" si="33"/>
        <v>378.52499999999998</v>
      </c>
      <c r="D309" s="19" t="s">
        <v>13</v>
      </c>
      <c r="E309" s="19" t="s">
        <v>14</v>
      </c>
      <c r="F309" s="19" t="s">
        <v>33</v>
      </c>
      <c r="G309" s="19" t="s">
        <v>34</v>
      </c>
      <c r="H309" s="19" t="s">
        <v>115</v>
      </c>
      <c r="I309" s="19">
        <v>367.5</v>
      </c>
      <c r="J309" s="19" t="s">
        <v>13</v>
      </c>
      <c r="K309" s="19" t="s">
        <v>18</v>
      </c>
      <c r="L309" s="19" t="s">
        <v>586</v>
      </c>
      <c r="M309" s="34">
        <f t="shared" si="30"/>
        <v>459.40065149999998</v>
      </c>
      <c r="N309" s="19" t="s">
        <v>586</v>
      </c>
      <c r="O309" s="34">
        <v>459.4006</v>
      </c>
      <c r="P309" s="34">
        <f t="shared" si="31"/>
        <v>-5.1499999983661837E-5</v>
      </c>
      <c r="Q309" s="21">
        <f t="shared" si="32"/>
        <v>459.40065149999998</v>
      </c>
    </row>
    <row r="310" spans="1:17" x14ac:dyDescent="0.25">
      <c r="A310" s="18" t="s">
        <v>588</v>
      </c>
      <c r="B310" s="19" t="s">
        <v>1420</v>
      </c>
      <c r="C310" s="28">
        <f t="shared" si="33"/>
        <v>19.837800000000001</v>
      </c>
      <c r="D310" s="19" t="s">
        <v>111</v>
      </c>
      <c r="E310" s="19" t="s">
        <v>14</v>
      </c>
      <c r="F310" s="19" t="s">
        <v>33</v>
      </c>
      <c r="G310" s="19" t="s">
        <v>34</v>
      </c>
      <c r="H310" s="19" t="s">
        <v>489</v>
      </c>
      <c r="I310" s="19">
        <v>19.260000000000002</v>
      </c>
      <c r="J310" s="19" t="s">
        <v>111</v>
      </c>
      <c r="K310" s="19" t="s">
        <v>18</v>
      </c>
      <c r="L310" s="19" t="s">
        <v>588</v>
      </c>
      <c r="M310" s="34">
        <f t="shared" si="30"/>
        <v>24.076344347999999</v>
      </c>
      <c r="N310" s="19">
        <v>0</v>
      </c>
      <c r="O310" s="34">
        <v>0</v>
      </c>
      <c r="P310" s="34">
        <f t="shared" si="31"/>
        <v>-24.076344347999999</v>
      </c>
      <c r="Q310" s="21">
        <f t="shared" si="32"/>
        <v>24.076344347999999</v>
      </c>
    </row>
    <row r="311" spans="1:17" x14ac:dyDescent="0.25">
      <c r="A311" s="18" t="s">
        <v>590</v>
      </c>
      <c r="B311" s="19" t="s">
        <v>1421</v>
      </c>
      <c r="C311" s="28">
        <f t="shared" si="33"/>
        <v>19.837800000000001</v>
      </c>
      <c r="D311" s="19" t="s">
        <v>32</v>
      </c>
      <c r="E311" s="19" t="s">
        <v>14</v>
      </c>
      <c r="F311" s="19" t="s">
        <v>33</v>
      </c>
      <c r="G311" s="19" t="s">
        <v>34</v>
      </c>
      <c r="H311" s="19" t="s">
        <v>265</v>
      </c>
      <c r="I311" s="19">
        <v>19.260000000000002</v>
      </c>
      <c r="J311" s="19" t="s">
        <v>32</v>
      </c>
      <c r="K311" s="19" t="s">
        <v>18</v>
      </c>
      <c r="L311" s="19" t="s">
        <v>590</v>
      </c>
      <c r="M311" s="34">
        <f t="shared" si="30"/>
        <v>24.076344347999999</v>
      </c>
      <c r="N311" s="19">
        <v>0</v>
      </c>
      <c r="O311" s="34">
        <v>0</v>
      </c>
      <c r="P311" s="34">
        <f t="shared" si="31"/>
        <v>-24.076344347999999</v>
      </c>
      <c r="Q311" s="21">
        <f t="shared" si="32"/>
        <v>24.076344347999999</v>
      </c>
    </row>
    <row r="312" spans="1:17" x14ac:dyDescent="0.25">
      <c r="A312" s="18" t="s">
        <v>592</v>
      </c>
      <c r="B312" s="19" t="s">
        <v>1422</v>
      </c>
      <c r="C312" s="28">
        <f t="shared" si="33"/>
        <v>36.956400000000002</v>
      </c>
      <c r="D312" s="19" t="s">
        <v>111</v>
      </c>
      <c r="E312" s="19" t="s">
        <v>14</v>
      </c>
      <c r="F312" s="19" t="s">
        <v>131</v>
      </c>
      <c r="G312" s="19" t="s">
        <v>132</v>
      </c>
      <c r="H312" s="19" t="s">
        <v>594</v>
      </c>
      <c r="I312" s="19">
        <v>35.880000000000003</v>
      </c>
      <c r="J312" s="19" t="s">
        <v>111</v>
      </c>
      <c r="K312" s="19" t="s">
        <v>18</v>
      </c>
      <c r="L312" s="19" t="s">
        <v>592</v>
      </c>
      <c r="M312" s="34">
        <f t="shared" si="30"/>
        <v>44.852504424000003</v>
      </c>
      <c r="N312" s="19" t="s">
        <v>592</v>
      </c>
      <c r="O312" s="34">
        <v>44.856499999999997</v>
      </c>
      <c r="P312" s="34">
        <f t="shared" si="31"/>
        <v>3.9955759999941165E-3</v>
      </c>
      <c r="Q312" s="21">
        <f t="shared" si="32"/>
        <v>44.852504424000003</v>
      </c>
    </row>
    <row r="313" spans="1:17" x14ac:dyDescent="0.25">
      <c r="A313" s="18" t="s">
        <v>595</v>
      </c>
      <c r="B313" s="19" t="s">
        <v>1423</v>
      </c>
      <c r="C313" s="28">
        <f t="shared" si="33"/>
        <v>69.669200000000004</v>
      </c>
      <c r="D313" s="19" t="s">
        <v>111</v>
      </c>
      <c r="E313" s="19" t="s">
        <v>14</v>
      </c>
      <c r="F313" s="19" t="s">
        <v>131</v>
      </c>
      <c r="G313" s="19" t="s">
        <v>132</v>
      </c>
      <c r="H313" s="19" t="s">
        <v>594</v>
      </c>
      <c r="I313" s="19">
        <v>67.64</v>
      </c>
      <c r="J313" s="19" t="s">
        <v>111</v>
      </c>
      <c r="K313" s="19" t="s">
        <v>18</v>
      </c>
      <c r="L313" s="19" t="s">
        <v>595</v>
      </c>
      <c r="M313" s="34">
        <f t="shared" si="30"/>
        <v>84.554721271999995</v>
      </c>
      <c r="N313" s="19" t="s">
        <v>595</v>
      </c>
      <c r="O313" s="34">
        <v>84.552700000000002</v>
      </c>
      <c r="P313" s="34">
        <f t="shared" si="31"/>
        <v>-2.021271999993246E-3</v>
      </c>
      <c r="Q313" s="21">
        <f t="shared" si="32"/>
        <v>84.554721271999995</v>
      </c>
    </row>
    <row r="314" spans="1:17" x14ac:dyDescent="0.25">
      <c r="A314" s="18" t="s">
        <v>597</v>
      </c>
      <c r="B314" s="19" t="s">
        <v>1424</v>
      </c>
      <c r="C314" s="28">
        <v>86.52</v>
      </c>
      <c r="D314" s="19" t="s">
        <v>13</v>
      </c>
      <c r="E314" s="19" t="s">
        <v>23</v>
      </c>
      <c r="F314" s="19" t="s">
        <v>49</v>
      </c>
      <c r="G314" s="19" t="s">
        <v>50</v>
      </c>
      <c r="H314" s="19" t="s">
        <v>50</v>
      </c>
      <c r="I314" s="19">
        <v>84</v>
      </c>
      <c r="J314" s="19" t="s">
        <v>13</v>
      </c>
      <c r="K314" s="19" t="s">
        <v>18</v>
      </c>
      <c r="L314" s="19" t="s">
        <v>597</v>
      </c>
      <c r="M314" s="34">
        <f t="shared" si="30"/>
        <v>105.00586319999999</v>
      </c>
      <c r="N314" s="19">
        <v>0</v>
      </c>
      <c r="O314" s="34">
        <v>0</v>
      </c>
      <c r="P314" s="34">
        <f t="shared" si="31"/>
        <v>-105.00586319999999</v>
      </c>
      <c r="Q314" s="21">
        <f t="shared" si="32"/>
        <v>105.00586319999999</v>
      </c>
    </row>
    <row r="315" spans="1:17" x14ac:dyDescent="0.25">
      <c r="A315" s="18">
        <v>1128801</v>
      </c>
      <c r="B315" s="19" t="s">
        <v>1425</v>
      </c>
      <c r="C315" s="28">
        <f>I315*3%+I315</f>
        <v>165.19139999999999</v>
      </c>
      <c r="D315" s="19" t="s">
        <v>13</v>
      </c>
      <c r="E315" s="19"/>
      <c r="F315" s="19" t="s">
        <v>33</v>
      </c>
      <c r="G315" s="19" t="s">
        <v>34</v>
      </c>
      <c r="H315" s="19" t="s">
        <v>231</v>
      </c>
      <c r="I315" s="19">
        <v>160.38</v>
      </c>
      <c r="J315" s="19" t="s">
        <v>383</v>
      </c>
      <c r="K315" s="19" t="s">
        <v>18</v>
      </c>
      <c r="L315" s="19">
        <v>0</v>
      </c>
      <c r="M315" s="34">
        <f t="shared" si="30"/>
        <v>200.48619452399998</v>
      </c>
      <c r="N315" s="19">
        <v>0</v>
      </c>
      <c r="O315" s="34">
        <v>0</v>
      </c>
      <c r="P315" s="34">
        <f t="shared" si="31"/>
        <v>-200.48619452399998</v>
      </c>
      <c r="Q315" s="21">
        <f t="shared" si="32"/>
        <v>200.48619452399998</v>
      </c>
    </row>
    <row r="316" spans="1:17" x14ac:dyDescent="0.25">
      <c r="A316" s="18">
        <v>1122501</v>
      </c>
      <c r="B316" s="19" t="s">
        <v>1426</v>
      </c>
      <c r="C316" s="28">
        <f t="shared" ref="C316:C337" si="34">I316*3%+I316</f>
        <v>118.65600000000001</v>
      </c>
      <c r="D316" s="19" t="s">
        <v>13</v>
      </c>
      <c r="E316" s="19"/>
      <c r="F316" s="19" t="s">
        <v>33</v>
      </c>
      <c r="G316" s="19" t="s">
        <v>34</v>
      </c>
      <c r="H316" s="19" t="s">
        <v>231</v>
      </c>
      <c r="I316" s="19">
        <v>115.2</v>
      </c>
      <c r="J316" s="19" t="s">
        <v>383</v>
      </c>
      <c r="K316" s="19" t="s">
        <v>18</v>
      </c>
      <c r="L316" s="19">
        <v>0</v>
      </c>
      <c r="M316" s="34">
        <f t="shared" si="30"/>
        <v>144.00804096000002</v>
      </c>
      <c r="N316" s="19">
        <v>0</v>
      </c>
      <c r="O316" s="34">
        <v>0</v>
      </c>
      <c r="P316" s="34">
        <f t="shared" si="31"/>
        <v>-144.00804096000002</v>
      </c>
      <c r="Q316" s="21">
        <f t="shared" si="32"/>
        <v>144.00804096000002</v>
      </c>
    </row>
    <row r="317" spans="1:17" x14ac:dyDescent="0.25">
      <c r="A317" s="18" t="s">
        <v>601</v>
      </c>
      <c r="B317" s="19" t="s">
        <v>1427</v>
      </c>
      <c r="C317" s="28">
        <f t="shared" si="34"/>
        <v>17.695399999999999</v>
      </c>
      <c r="D317" s="19" t="s">
        <v>124</v>
      </c>
      <c r="E317" s="19" t="s">
        <v>14</v>
      </c>
      <c r="F317" s="19" t="s">
        <v>603</v>
      </c>
      <c r="G317" s="19" t="s">
        <v>604</v>
      </c>
      <c r="H317" s="19" t="s">
        <v>605</v>
      </c>
      <c r="I317" s="19">
        <v>17.18</v>
      </c>
      <c r="J317" s="19" t="s">
        <v>124</v>
      </c>
      <c r="K317" s="19" t="s">
        <v>18</v>
      </c>
      <c r="L317" s="19" t="s">
        <v>601</v>
      </c>
      <c r="M317" s="34">
        <f t="shared" si="30"/>
        <v>21.476199163999997</v>
      </c>
      <c r="N317" s="19">
        <v>0</v>
      </c>
      <c r="O317" s="34">
        <v>0</v>
      </c>
      <c r="P317" s="34">
        <f t="shared" si="31"/>
        <v>-21.476199163999997</v>
      </c>
      <c r="Q317" s="21">
        <f t="shared" si="32"/>
        <v>21.476199163999997</v>
      </c>
    </row>
    <row r="318" spans="1:17" x14ac:dyDescent="0.25">
      <c r="A318" s="18" t="s">
        <v>606</v>
      </c>
      <c r="B318" s="19" t="s">
        <v>1428</v>
      </c>
      <c r="C318" s="28">
        <f t="shared" si="34"/>
        <v>75.704999999999998</v>
      </c>
      <c r="D318" s="19" t="s">
        <v>13</v>
      </c>
      <c r="E318" s="19" t="s">
        <v>14</v>
      </c>
      <c r="F318" s="19" t="s">
        <v>15</v>
      </c>
      <c r="G318" s="19" t="s">
        <v>16</v>
      </c>
      <c r="H318" s="19" t="s">
        <v>17</v>
      </c>
      <c r="I318" s="19">
        <v>73.5</v>
      </c>
      <c r="J318" s="19" t="s">
        <v>13</v>
      </c>
      <c r="K318" s="19" t="s">
        <v>18</v>
      </c>
      <c r="L318" s="19" t="s">
        <v>606</v>
      </c>
      <c r="M318" s="34">
        <f t="shared" si="30"/>
        <v>91.88013029999999</v>
      </c>
      <c r="N318" s="19">
        <v>0</v>
      </c>
      <c r="O318" s="34">
        <v>0</v>
      </c>
      <c r="P318" s="34">
        <f t="shared" si="31"/>
        <v>-91.88013029999999</v>
      </c>
      <c r="Q318" s="21">
        <f t="shared" si="32"/>
        <v>91.88013029999999</v>
      </c>
    </row>
    <row r="319" spans="1:17" x14ac:dyDescent="0.25">
      <c r="A319" s="18" t="s">
        <v>608</v>
      </c>
      <c r="B319" s="19" t="s">
        <v>1429</v>
      </c>
      <c r="C319" s="28">
        <f t="shared" si="34"/>
        <v>54.075000000000003</v>
      </c>
      <c r="D319" s="19" t="s">
        <v>13</v>
      </c>
      <c r="E319" s="19" t="s">
        <v>23</v>
      </c>
      <c r="F319" s="19" t="s">
        <v>49</v>
      </c>
      <c r="G319" s="19" t="s">
        <v>50</v>
      </c>
      <c r="H319" s="19" t="s">
        <v>50</v>
      </c>
      <c r="I319" s="19">
        <v>52.5</v>
      </c>
      <c r="J319" s="19" t="s">
        <v>13</v>
      </c>
      <c r="K319" s="19" t="s">
        <v>18</v>
      </c>
      <c r="L319" s="19" t="s">
        <v>608</v>
      </c>
      <c r="M319" s="34">
        <f t="shared" si="30"/>
        <v>65.628664499999999</v>
      </c>
      <c r="N319" s="19">
        <v>0</v>
      </c>
      <c r="O319" s="34">
        <v>0</v>
      </c>
      <c r="P319" s="34">
        <f t="shared" si="31"/>
        <v>-65.628664499999999</v>
      </c>
      <c r="Q319" s="21">
        <f t="shared" si="32"/>
        <v>65.628664499999999</v>
      </c>
    </row>
    <row r="320" spans="1:17" x14ac:dyDescent="0.25">
      <c r="A320" s="18" t="s">
        <v>610</v>
      </c>
      <c r="B320" s="19" t="s">
        <v>1430</v>
      </c>
      <c r="C320" s="28">
        <f t="shared" si="34"/>
        <v>55.280100000000004</v>
      </c>
      <c r="D320" s="19" t="s">
        <v>32</v>
      </c>
      <c r="E320" s="19" t="s">
        <v>14</v>
      </c>
      <c r="F320" s="19" t="s">
        <v>15</v>
      </c>
      <c r="G320" s="19" t="s">
        <v>16</v>
      </c>
      <c r="H320" s="19" t="s">
        <v>17</v>
      </c>
      <c r="I320" s="19">
        <v>53.67</v>
      </c>
      <c r="J320" s="19" t="s">
        <v>32</v>
      </c>
      <c r="K320" s="19" t="s">
        <v>18</v>
      </c>
      <c r="L320" s="19" t="s">
        <v>610</v>
      </c>
      <c r="M320" s="34">
        <f t="shared" si="30"/>
        <v>67.091246166000005</v>
      </c>
      <c r="N320" s="19">
        <v>0</v>
      </c>
      <c r="O320" s="34">
        <v>0</v>
      </c>
      <c r="P320" s="34">
        <f t="shared" si="31"/>
        <v>-67.091246166000005</v>
      </c>
      <c r="Q320" s="21">
        <f t="shared" si="32"/>
        <v>67.091246166000005</v>
      </c>
    </row>
    <row r="321" spans="1:17" x14ac:dyDescent="0.25">
      <c r="A321" s="18" t="s">
        <v>612</v>
      </c>
      <c r="B321" s="19" t="s">
        <v>1431</v>
      </c>
      <c r="C321" s="28">
        <f t="shared" si="34"/>
        <v>66.321700000000007</v>
      </c>
      <c r="D321" s="19" t="s">
        <v>32</v>
      </c>
      <c r="E321" s="19" t="s">
        <v>14</v>
      </c>
      <c r="F321" s="19" t="s">
        <v>15</v>
      </c>
      <c r="G321" s="19" t="s">
        <v>16</v>
      </c>
      <c r="H321" s="19" t="s">
        <v>17</v>
      </c>
      <c r="I321" s="19">
        <v>64.39</v>
      </c>
      <c r="J321" s="19" t="s">
        <v>32</v>
      </c>
      <c r="K321" s="19" t="s">
        <v>18</v>
      </c>
      <c r="L321" s="19" t="s">
        <v>612</v>
      </c>
      <c r="M321" s="34">
        <f t="shared" si="30"/>
        <v>80.491994422000005</v>
      </c>
      <c r="N321" s="19" t="s">
        <v>612</v>
      </c>
      <c r="O321" s="34">
        <v>9.6820000000000004</v>
      </c>
      <c r="P321" s="34">
        <f t="shared" si="31"/>
        <v>-70.809994422000003</v>
      </c>
      <c r="Q321" s="21">
        <f t="shared" si="32"/>
        <v>80.491994422000005</v>
      </c>
    </row>
    <row r="322" spans="1:17" x14ac:dyDescent="0.25">
      <c r="A322" s="18" t="s">
        <v>614</v>
      </c>
      <c r="B322" s="19" t="s">
        <v>1432</v>
      </c>
      <c r="C322" s="28">
        <f t="shared" si="34"/>
        <v>0</v>
      </c>
      <c r="D322" s="19" t="s">
        <v>383</v>
      </c>
      <c r="E322" s="19" t="s">
        <v>14</v>
      </c>
      <c r="F322" s="19" t="s">
        <v>33</v>
      </c>
      <c r="G322" s="19" t="s">
        <v>34</v>
      </c>
      <c r="H322" s="19" t="s">
        <v>35</v>
      </c>
      <c r="I322" s="19"/>
      <c r="J322" s="19" t="s">
        <v>383</v>
      </c>
      <c r="K322" s="19" t="s">
        <v>18</v>
      </c>
      <c r="L322" s="19">
        <v>0</v>
      </c>
      <c r="M322" s="34">
        <f t="shared" si="30"/>
        <v>0</v>
      </c>
      <c r="N322" s="19">
        <v>0</v>
      </c>
      <c r="O322" s="34">
        <v>0</v>
      </c>
      <c r="P322" s="34">
        <f t="shared" si="31"/>
        <v>0</v>
      </c>
      <c r="Q322" s="21">
        <f t="shared" si="32"/>
        <v>0</v>
      </c>
    </row>
    <row r="323" spans="1:17" x14ac:dyDescent="0.25">
      <c r="A323" s="18" t="s">
        <v>616</v>
      </c>
      <c r="B323" s="19" t="s">
        <v>1432</v>
      </c>
      <c r="C323" s="28">
        <f t="shared" si="34"/>
        <v>82.812000000000012</v>
      </c>
      <c r="D323" s="19" t="s">
        <v>383</v>
      </c>
      <c r="E323" s="19"/>
      <c r="F323" s="19" t="s">
        <v>33</v>
      </c>
      <c r="G323" s="19" t="s">
        <v>34</v>
      </c>
      <c r="H323" s="19" t="s">
        <v>35</v>
      </c>
      <c r="I323" s="19">
        <v>80.400000000000006</v>
      </c>
      <c r="J323" s="19" t="s">
        <v>383</v>
      </c>
      <c r="K323" s="19" t="s">
        <v>18</v>
      </c>
      <c r="L323" s="19" t="s">
        <v>616</v>
      </c>
      <c r="M323" s="34">
        <f t="shared" si="30"/>
        <v>100.50561192000001</v>
      </c>
      <c r="N323" s="19" t="s">
        <v>616</v>
      </c>
      <c r="O323" s="34">
        <v>84.861699999999999</v>
      </c>
      <c r="P323" s="34">
        <f t="shared" si="31"/>
        <v>-15.643911920000008</v>
      </c>
      <c r="Q323" s="21">
        <f t="shared" si="32"/>
        <v>100.50561192000001</v>
      </c>
    </row>
    <row r="324" spans="1:17" x14ac:dyDescent="0.25">
      <c r="A324" s="18" t="s">
        <v>617</v>
      </c>
      <c r="B324" s="19" t="s">
        <v>1433</v>
      </c>
      <c r="C324" s="28">
        <f t="shared" si="34"/>
        <v>82.812000000000012</v>
      </c>
      <c r="D324" s="19" t="s">
        <v>191</v>
      </c>
      <c r="E324" s="19" t="s">
        <v>14</v>
      </c>
      <c r="F324" s="19" t="s">
        <v>33</v>
      </c>
      <c r="G324" s="19" t="s">
        <v>34</v>
      </c>
      <c r="H324" s="19" t="s">
        <v>35</v>
      </c>
      <c r="I324" s="19">
        <v>80.400000000000006</v>
      </c>
      <c r="J324" s="19" t="s">
        <v>191</v>
      </c>
      <c r="K324" s="19" t="s">
        <v>18</v>
      </c>
      <c r="L324" s="19" t="s">
        <v>617</v>
      </c>
      <c r="M324" s="34">
        <f t="shared" ref="M324:M387" si="35">C324*1.21366</f>
        <v>100.50561192000001</v>
      </c>
      <c r="N324" s="19" t="s">
        <v>617</v>
      </c>
      <c r="O324" s="34">
        <v>25.2453</v>
      </c>
      <c r="P324" s="34">
        <f t="shared" ref="P324:P387" si="36">O324-M324</f>
        <v>-75.260311920000007</v>
      </c>
      <c r="Q324" s="21">
        <f t="shared" si="32"/>
        <v>100.50561192000001</v>
      </c>
    </row>
    <row r="325" spans="1:17" x14ac:dyDescent="0.25">
      <c r="A325" s="18" t="s">
        <v>619</v>
      </c>
      <c r="B325" s="19" t="s">
        <v>1434</v>
      </c>
      <c r="C325" s="28">
        <f t="shared" si="34"/>
        <v>54.5488</v>
      </c>
      <c r="D325" s="19" t="s">
        <v>111</v>
      </c>
      <c r="E325" s="19" t="s">
        <v>14</v>
      </c>
      <c r="F325" s="19" t="s">
        <v>33</v>
      </c>
      <c r="G325" s="19" t="s">
        <v>34</v>
      </c>
      <c r="H325" s="19" t="s">
        <v>265</v>
      </c>
      <c r="I325" s="19">
        <v>52.96</v>
      </c>
      <c r="J325" s="19" t="s">
        <v>111</v>
      </c>
      <c r="K325" s="19" t="s">
        <v>18</v>
      </c>
      <c r="L325" s="19" t="s">
        <v>619</v>
      </c>
      <c r="M325" s="34">
        <f t="shared" si="35"/>
        <v>66.203696608000001</v>
      </c>
      <c r="N325" s="19">
        <v>0</v>
      </c>
      <c r="O325" s="34">
        <v>0</v>
      </c>
      <c r="P325" s="34">
        <f t="shared" si="36"/>
        <v>-66.203696608000001</v>
      </c>
      <c r="Q325" s="21">
        <f t="shared" si="32"/>
        <v>66.203696608000001</v>
      </c>
    </row>
    <row r="326" spans="1:17" x14ac:dyDescent="0.25">
      <c r="A326" s="18" t="s">
        <v>621</v>
      </c>
      <c r="B326" s="19" t="s">
        <v>1435</v>
      </c>
      <c r="C326" s="28">
        <f t="shared" si="34"/>
        <v>12.875</v>
      </c>
      <c r="D326" s="19" t="s">
        <v>191</v>
      </c>
      <c r="E326" s="19" t="s">
        <v>14</v>
      </c>
      <c r="F326" s="19" t="s">
        <v>33</v>
      </c>
      <c r="G326" s="19" t="s">
        <v>34</v>
      </c>
      <c r="H326" s="19" t="s">
        <v>270</v>
      </c>
      <c r="I326" s="19">
        <v>12.5</v>
      </c>
      <c r="J326" s="19" t="s">
        <v>191</v>
      </c>
      <c r="K326" s="19" t="s">
        <v>18</v>
      </c>
      <c r="L326" s="19" t="s">
        <v>621</v>
      </c>
      <c r="M326" s="34">
        <f t="shared" si="35"/>
        <v>15.6258725</v>
      </c>
      <c r="N326" s="19" t="s">
        <v>621</v>
      </c>
      <c r="O326" s="34">
        <v>82.4</v>
      </c>
      <c r="P326" s="34">
        <f t="shared" si="36"/>
        <v>66.774127500000006</v>
      </c>
      <c r="Q326" s="21">
        <f t="shared" si="32"/>
        <v>15.6258725</v>
      </c>
    </row>
    <row r="327" spans="1:17" x14ac:dyDescent="0.25">
      <c r="A327" s="18" t="s">
        <v>623</v>
      </c>
      <c r="B327" s="19" t="s">
        <v>1436</v>
      </c>
      <c r="C327" s="28">
        <f t="shared" si="34"/>
        <v>31.394400000000001</v>
      </c>
      <c r="D327" s="19" t="s">
        <v>191</v>
      </c>
      <c r="E327" s="19" t="s">
        <v>14</v>
      </c>
      <c r="F327" s="19" t="s">
        <v>33</v>
      </c>
      <c r="G327" s="19" t="s">
        <v>34</v>
      </c>
      <c r="H327" s="19" t="s">
        <v>35</v>
      </c>
      <c r="I327" s="19">
        <v>30.48</v>
      </c>
      <c r="J327" s="19" t="s">
        <v>191</v>
      </c>
      <c r="K327" s="19" t="s">
        <v>18</v>
      </c>
      <c r="L327" s="19" t="s">
        <v>623</v>
      </c>
      <c r="M327" s="34">
        <f t="shared" si="35"/>
        <v>38.102127504000002</v>
      </c>
      <c r="N327" s="19">
        <v>0</v>
      </c>
      <c r="O327" s="34">
        <v>0</v>
      </c>
      <c r="P327" s="34">
        <f t="shared" si="36"/>
        <v>-38.102127504000002</v>
      </c>
      <c r="Q327" s="21">
        <f t="shared" si="32"/>
        <v>38.102127504000002</v>
      </c>
    </row>
    <row r="328" spans="1:17" x14ac:dyDescent="0.25">
      <c r="A328" s="18" t="s">
        <v>625</v>
      </c>
      <c r="B328" s="19" t="s">
        <v>1437</v>
      </c>
      <c r="C328" s="28">
        <f t="shared" si="34"/>
        <v>17.643899999999999</v>
      </c>
      <c r="D328" s="19" t="s">
        <v>32</v>
      </c>
      <c r="E328" s="19" t="s">
        <v>14</v>
      </c>
      <c r="F328" s="19" t="s">
        <v>15</v>
      </c>
      <c r="G328" s="19" t="s">
        <v>16</v>
      </c>
      <c r="H328" s="19" t="s">
        <v>17</v>
      </c>
      <c r="I328" s="19">
        <v>17.13</v>
      </c>
      <c r="J328" s="19" t="s">
        <v>32</v>
      </c>
      <c r="K328" s="19" t="s">
        <v>18</v>
      </c>
      <c r="L328" s="19" t="s">
        <v>625</v>
      </c>
      <c r="M328" s="34">
        <f t="shared" si="35"/>
        <v>21.413695673999996</v>
      </c>
      <c r="N328" s="19">
        <v>0</v>
      </c>
      <c r="O328" s="34">
        <v>0</v>
      </c>
      <c r="P328" s="34">
        <f t="shared" si="36"/>
        <v>-21.413695673999996</v>
      </c>
      <c r="Q328" s="21">
        <f t="shared" si="32"/>
        <v>21.413695673999996</v>
      </c>
    </row>
    <row r="329" spans="1:17" x14ac:dyDescent="0.25">
      <c r="A329" s="18" t="s">
        <v>627</v>
      </c>
      <c r="B329" s="19" t="s">
        <v>1438</v>
      </c>
      <c r="C329" s="28">
        <f t="shared" si="34"/>
        <v>16.4285</v>
      </c>
      <c r="D329" s="19" t="s">
        <v>32</v>
      </c>
      <c r="E329" s="19" t="s">
        <v>14</v>
      </c>
      <c r="F329" s="19" t="s">
        <v>15</v>
      </c>
      <c r="G329" s="19" t="s">
        <v>16</v>
      </c>
      <c r="H329" s="19" t="s">
        <v>17</v>
      </c>
      <c r="I329" s="19">
        <v>15.95</v>
      </c>
      <c r="J329" s="19" t="s">
        <v>32</v>
      </c>
      <c r="K329" s="19" t="s">
        <v>18</v>
      </c>
      <c r="L329" s="19" t="s">
        <v>627</v>
      </c>
      <c r="M329" s="34">
        <f t="shared" si="35"/>
        <v>19.938613309999997</v>
      </c>
      <c r="N329" s="19">
        <v>0</v>
      </c>
      <c r="O329" s="34">
        <v>0</v>
      </c>
      <c r="P329" s="34">
        <f t="shared" si="36"/>
        <v>-19.938613309999997</v>
      </c>
      <c r="Q329" s="21">
        <f t="shared" si="32"/>
        <v>19.938613309999997</v>
      </c>
    </row>
    <row r="330" spans="1:17" x14ac:dyDescent="0.25">
      <c r="A330" s="18" t="s">
        <v>629</v>
      </c>
      <c r="B330" s="19" t="s">
        <v>1439</v>
      </c>
      <c r="C330" s="28">
        <f t="shared" si="34"/>
        <v>18.107399999999998</v>
      </c>
      <c r="D330" s="19" t="s">
        <v>32</v>
      </c>
      <c r="E330" s="19" t="s">
        <v>14</v>
      </c>
      <c r="F330" s="19" t="s">
        <v>15</v>
      </c>
      <c r="G330" s="19" t="s">
        <v>16</v>
      </c>
      <c r="H330" s="19" t="s">
        <v>17</v>
      </c>
      <c r="I330" s="19">
        <v>17.579999999999998</v>
      </c>
      <c r="J330" s="19" t="s">
        <v>32</v>
      </c>
      <c r="K330" s="19" t="s">
        <v>18</v>
      </c>
      <c r="L330" s="19" t="s">
        <v>629</v>
      </c>
      <c r="M330" s="34">
        <f t="shared" si="35"/>
        <v>21.976227083999998</v>
      </c>
      <c r="N330" s="19" t="s">
        <v>629</v>
      </c>
      <c r="O330" s="34">
        <v>6.9318999999999997</v>
      </c>
      <c r="P330" s="34">
        <f t="shared" si="36"/>
        <v>-15.044327083999999</v>
      </c>
      <c r="Q330" s="21">
        <f t="shared" si="32"/>
        <v>21.976227083999998</v>
      </c>
    </row>
    <row r="331" spans="1:17" x14ac:dyDescent="0.25">
      <c r="A331" s="18" t="s">
        <v>631</v>
      </c>
      <c r="B331" s="19" t="s">
        <v>1440</v>
      </c>
      <c r="C331" s="28">
        <f t="shared" si="34"/>
        <v>22.248000000000001</v>
      </c>
      <c r="D331" s="19" t="s">
        <v>32</v>
      </c>
      <c r="E331" s="19" t="s">
        <v>14</v>
      </c>
      <c r="F331" s="19" t="s">
        <v>15</v>
      </c>
      <c r="G331" s="19" t="s">
        <v>16</v>
      </c>
      <c r="H331" s="19" t="s">
        <v>17</v>
      </c>
      <c r="I331" s="19">
        <v>21.6</v>
      </c>
      <c r="J331" s="19" t="s">
        <v>32</v>
      </c>
      <c r="K331" s="19" t="s">
        <v>18</v>
      </c>
      <c r="L331" s="19" t="s">
        <v>631</v>
      </c>
      <c r="M331" s="34">
        <f t="shared" si="35"/>
        <v>27.00150768</v>
      </c>
      <c r="N331" s="19">
        <v>0</v>
      </c>
      <c r="O331" s="34">
        <v>0</v>
      </c>
      <c r="P331" s="34">
        <f t="shared" si="36"/>
        <v>-27.00150768</v>
      </c>
      <c r="Q331" s="21">
        <f t="shared" si="32"/>
        <v>27.00150768</v>
      </c>
    </row>
    <row r="332" spans="1:17" x14ac:dyDescent="0.25">
      <c r="A332" s="18" t="s">
        <v>633</v>
      </c>
      <c r="B332" s="19" t="s">
        <v>1441</v>
      </c>
      <c r="C332" s="28">
        <f t="shared" si="34"/>
        <v>28.613400000000002</v>
      </c>
      <c r="D332" s="19" t="s">
        <v>191</v>
      </c>
      <c r="E332" s="19" t="s">
        <v>14</v>
      </c>
      <c r="F332" s="19" t="s">
        <v>33</v>
      </c>
      <c r="G332" s="19" t="s">
        <v>34</v>
      </c>
      <c r="H332" s="19" t="s">
        <v>270</v>
      </c>
      <c r="I332" s="19">
        <v>27.78</v>
      </c>
      <c r="J332" s="19" t="s">
        <v>191</v>
      </c>
      <c r="K332" s="19" t="s">
        <v>18</v>
      </c>
      <c r="L332" s="19" t="s">
        <v>633</v>
      </c>
      <c r="M332" s="34">
        <f t="shared" si="35"/>
        <v>34.726939043999998</v>
      </c>
      <c r="N332" s="19">
        <v>0</v>
      </c>
      <c r="O332" s="34">
        <v>0</v>
      </c>
      <c r="P332" s="34">
        <f t="shared" si="36"/>
        <v>-34.726939043999998</v>
      </c>
      <c r="Q332" s="21">
        <f t="shared" si="32"/>
        <v>34.726939043999998</v>
      </c>
    </row>
    <row r="333" spans="1:17" x14ac:dyDescent="0.25">
      <c r="A333" s="18" t="s">
        <v>635</v>
      </c>
      <c r="B333" s="19" t="s">
        <v>1442</v>
      </c>
      <c r="C333" s="28">
        <f t="shared" si="34"/>
        <v>164.8</v>
      </c>
      <c r="D333" s="19" t="s">
        <v>383</v>
      </c>
      <c r="E333" s="19" t="s">
        <v>14</v>
      </c>
      <c r="F333" s="19" t="s">
        <v>33</v>
      </c>
      <c r="G333" s="19" t="s">
        <v>34</v>
      </c>
      <c r="H333" s="19" t="s">
        <v>35</v>
      </c>
      <c r="I333" s="19">
        <v>160</v>
      </c>
      <c r="J333" s="19" t="s">
        <v>383</v>
      </c>
      <c r="K333" s="19" t="s">
        <v>18</v>
      </c>
      <c r="L333" s="19" t="s">
        <v>635</v>
      </c>
      <c r="M333" s="34">
        <f t="shared" si="35"/>
        <v>200.011168</v>
      </c>
      <c r="N333" s="19">
        <v>0</v>
      </c>
      <c r="O333" s="34">
        <v>0</v>
      </c>
      <c r="P333" s="34">
        <f t="shared" si="36"/>
        <v>-200.011168</v>
      </c>
      <c r="Q333" s="21">
        <f t="shared" si="32"/>
        <v>200.011168</v>
      </c>
    </row>
    <row r="334" spans="1:17" x14ac:dyDescent="0.25">
      <c r="A334" s="18" t="s">
        <v>637</v>
      </c>
      <c r="B334" s="19" t="s">
        <v>1443</v>
      </c>
      <c r="C334" s="28">
        <f t="shared" si="34"/>
        <v>9.9189000000000007</v>
      </c>
      <c r="D334" s="19" t="s">
        <v>32</v>
      </c>
      <c r="E334" s="19" t="s">
        <v>14</v>
      </c>
      <c r="F334" s="19" t="s">
        <v>33</v>
      </c>
      <c r="G334" s="19" t="s">
        <v>34</v>
      </c>
      <c r="H334" s="19" t="s">
        <v>265</v>
      </c>
      <c r="I334" s="19">
        <v>9.6300000000000008</v>
      </c>
      <c r="J334" s="19" t="s">
        <v>32</v>
      </c>
      <c r="K334" s="19" t="s">
        <v>18</v>
      </c>
      <c r="L334" s="19" t="s">
        <v>637</v>
      </c>
      <c r="M334" s="34">
        <f t="shared" si="35"/>
        <v>12.038172174</v>
      </c>
      <c r="N334" s="19">
        <v>0</v>
      </c>
      <c r="O334" s="34">
        <v>0</v>
      </c>
      <c r="P334" s="34">
        <f t="shared" si="36"/>
        <v>-12.038172174</v>
      </c>
      <c r="Q334" s="21">
        <f t="shared" si="32"/>
        <v>12.038172174</v>
      </c>
    </row>
    <row r="335" spans="1:17" x14ac:dyDescent="0.25">
      <c r="A335" s="18" t="s">
        <v>639</v>
      </c>
      <c r="B335" s="19" t="s">
        <v>1444</v>
      </c>
      <c r="C335" s="28">
        <f t="shared" si="34"/>
        <v>15.6251</v>
      </c>
      <c r="D335" s="19" t="s">
        <v>111</v>
      </c>
      <c r="E335" s="19" t="s">
        <v>14</v>
      </c>
      <c r="F335" s="19" t="s">
        <v>33</v>
      </c>
      <c r="G335" s="19" t="s">
        <v>34</v>
      </c>
      <c r="H335" s="19" t="s">
        <v>265</v>
      </c>
      <c r="I335" s="19">
        <v>15.17</v>
      </c>
      <c r="J335" s="19" t="s">
        <v>111</v>
      </c>
      <c r="K335" s="19" t="s">
        <v>18</v>
      </c>
      <c r="L335" s="19" t="s">
        <v>639</v>
      </c>
      <c r="M335" s="34">
        <f t="shared" si="35"/>
        <v>18.963558866</v>
      </c>
      <c r="N335" s="19">
        <v>0</v>
      </c>
      <c r="O335" s="34">
        <v>0</v>
      </c>
      <c r="P335" s="34">
        <f t="shared" si="36"/>
        <v>-18.963558866</v>
      </c>
      <c r="Q335" s="21">
        <f t="shared" si="32"/>
        <v>18.963558866</v>
      </c>
    </row>
    <row r="336" spans="1:17" x14ac:dyDescent="0.25">
      <c r="A336" s="18" t="s">
        <v>641</v>
      </c>
      <c r="B336" s="19" t="s">
        <v>1445</v>
      </c>
      <c r="C336" s="28">
        <f t="shared" si="34"/>
        <v>32.96</v>
      </c>
      <c r="D336" s="19" t="s">
        <v>191</v>
      </c>
      <c r="E336" s="19" t="s">
        <v>14</v>
      </c>
      <c r="F336" s="19" t="s">
        <v>33</v>
      </c>
      <c r="G336" s="19" t="s">
        <v>34</v>
      </c>
      <c r="H336" s="19" t="s">
        <v>35</v>
      </c>
      <c r="I336" s="19">
        <v>32</v>
      </c>
      <c r="J336" s="19" t="s">
        <v>191</v>
      </c>
      <c r="K336" s="19" t="s">
        <v>18</v>
      </c>
      <c r="L336" s="19" t="s">
        <v>641</v>
      </c>
      <c r="M336" s="34">
        <f t="shared" si="35"/>
        <v>40.002233599999997</v>
      </c>
      <c r="N336" s="19">
        <v>0</v>
      </c>
      <c r="O336" s="34">
        <v>0</v>
      </c>
      <c r="P336" s="34">
        <f t="shared" si="36"/>
        <v>-40.002233599999997</v>
      </c>
      <c r="Q336" s="21">
        <f t="shared" si="32"/>
        <v>40.002233599999997</v>
      </c>
    </row>
    <row r="337" spans="1:17" x14ac:dyDescent="0.25">
      <c r="A337" s="18" t="s">
        <v>643</v>
      </c>
      <c r="B337" s="19" t="s">
        <v>1446</v>
      </c>
      <c r="C337" s="28">
        <f t="shared" si="34"/>
        <v>10.114599999999999</v>
      </c>
      <c r="D337" s="19" t="s">
        <v>379</v>
      </c>
      <c r="E337" s="19" t="s">
        <v>14</v>
      </c>
      <c r="F337" s="19" t="s">
        <v>33</v>
      </c>
      <c r="G337" s="19" t="s">
        <v>34</v>
      </c>
      <c r="H337" s="19" t="s">
        <v>76</v>
      </c>
      <c r="I337" s="19">
        <v>9.82</v>
      </c>
      <c r="J337" s="19" t="s">
        <v>379</v>
      </c>
      <c r="K337" s="19" t="s">
        <v>18</v>
      </c>
      <c r="L337" s="19" t="s">
        <v>643</v>
      </c>
      <c r="M337" s="34">
        <f t="shared" si="35"/>
        <v>12.275685435999998</v>
      </c>
      <c r="N337" s="19" t="s">
        <v>643</v>
      </c>
      <c r="O337" s="34">
        <v>12.2776</v>
      </c>
      <c r="P337" s="34">
        <f t="shared" si="36"/>
        <v>1.9145640000015618E-3</v>
      </c>
      <c r="Q337" s="21">
        <f t="shared" si="32"/>
        <v>12.275685435999998</v>
      </c>
    </row>
    <row r="338" spans="1:17" x14ac:dyDescent="0.25">
      <c r="A338" s="18">
        <v>937025</v>
      </c>
      <c r="B338" s="19" t="s">
        <v>1447</v>
      </c>
      <c r="C338" s="28">
        <v>20</v>
      </c>
      <c r="D338" s="19" t="s">
        <v>32</v>
      </c>
      <c r="E338" s="19" t="s">
        <v>14</v>
      </c>
      <c r="F338" s="19" t="s">
        <v>33</v>
      </c>
      <c r="G338" s="19" t="s">
        <v>34</v>
      </c>
      <c r="H338" s="19" t="s">
        <v>265</v>
      </c>
      <c r="I338" s="19">
        <v>1.05</v>
      </c>
      <c r="J338" s="19" t="s">
        <v>331</v>
      </c>
      <c r="K338" s="19" t="s">
        <v>18</v>
      </c>
      <c r="L338" s="19">
        <v>0</v>
      </c>
      <c r="M338" s="34">
        <f t="shared" si="35"/>
        <v>24.273199999999999</v>
      </c>
      <c r="N338" s="19">
        <v>0</v>
      </c>
      <c r="O338" s="34">
        <v>0</v>
      </c>
      <c r="P338" s="34">
        <f t="shared" si="36"/>
        <v>-24.273199999999999</v>
      </c>
      <c r="Q338" s="21">
        <f t="shared" si="32"/>
        <v>24.273199999999999</v>
      </c>
    </row>
    <row r="339" spans="1:17" x14ac:dyDescent="0.25">
      <c r="A339" s="18">
        <v>937125</v>
      </c>
      <c r="B339" s="19" t="s">
        <v>1448</v>
      </c>
      <c r="C339" s="28">
        <v>37.85</v>
      </c>
      <c r="D339" s="19" t="s">
        <v>32</v>
      </c>
      <c r="E339" s="19" t="s">
        <v>14</v>
      </c>
      <c r="F339" s="19" t="s">
        <v>33</v>
      </c>
      <c r="G339" s="19" t="s">
        <v>34</v>
      </c>
      <c r="H339" s="19" t="s">
        <v>265</v>
      </c>
      <c r="I339" s="19">
        <v>1.47</v>
      </c>
      <c r="J339" s="19" t="s">
        <v>331</v>
      </c>
      <c r="K339" s="19" t="s">
        <v>18</v>
      </c>
      <c r="L339" s="19">
        <v>0</v>
      </c>
      <c r="M339" s="34">
        <f t="shared" si="35"/>
        <v>45.937030999999998</v>
      </c>
      <c r="N339" s="19">
        <v>0</v>
      </c>
      <c r="O339" s="34">
        <v>0</v>
      </c>
      <c r="P339" s="34">
        <f t="shared" si="36"/>
        <v>-45.937030999999998</v>
      </c>
      <c r="Q339" s="21">
        <f t="shared" si="32"/>
        <v>45.937030999999998</v>
      </c>
    </row>
    <row r="340" spans="1:17" x14ac:dyDescent="0.25">
      <c r="A340" s="18">
        <v>935225</v>
      </c>
      <c r="B340" s="19" t="s">
        <v>1449</v>
      </c>
      <c r="C340" s="28">
        <v>43.26</v>
      </c>
      <c r="D340" s="19" t="s">
        <v>32</v>
      </c>
      <c r="E340" s="19"/>
      <c r="F340" s="19" t="s">
        <v>33</v>
      </c>
      <c r="G340" s="19" t="s">
        <v>34</v>
      </c>
      <c r="H340" s="19" t="s">
        <v>265</v>
      </c>
      <c r="I340" s="19">
        <v>42</v>
      </c>
      <c r="J340" s="19" t="s">
        <v>32</v>
      </c>
      <c r="K340" s="19" t="s">
        <v>18</v>
      </c>
      <c r="L340" s="19">
        <v>0</v>
      </c>
      <c r="M340" s="34">
        <f t="shared" si="35"/>
        <v>52.502931599999997</v>
      </c>
      <c r="N340" s="19">
        <v>0</v>
      </c>
      <c r="O340" s="34">
        <v>0</v>
      </c>
      <c r="P340" s="34">
        <f t="shared" si="36"/>
        <v>-52.502931599999997</v>
      </c>
      <c r="Q340" s="21">
        <f t="shared" si="32"/>
        <v>52.502931599999997</v>
      </c>
    </row>
    <row r="341" spans="1:17" x14ac:dyDescent="0.25">
      <c r="A341" s="18" t="s">
        <v>648</v>
      </c>
      <c r="B341" s="19" t="s">
        <v>1450</v>
      </c>
      <c r="C341" s="28">
        <f>I341*3%+I341</f>
        <v>61.491</v>
      </c>
      <c r="D341" s="19" t="s">
        <v>383</v>
      </c>
      <c r="E341" s="19"/>
      <c r="F341" s="19" t="s">
        <v>15</v>
      </c>
      <c r="G341" s="19" t="s">
        <v>16</v>
      </c>
      <c r="H341" s="19" t="s">
        <v>17</v>
      </c>
      <c r="I341" s="19">
        <v>59.7</v>
      </c>
      <c r="J341" s="19" t="s">
        <v>383</v>
      </c>
      <c r="K341" s="19" t="s">
        <v>18</v>
      </c>
      <c r="L341" s="19" t="s">
        <v>648</v>
      </c>
      <c r="M341" s="34">
        <f t="shared" si="35"/>
        <v>74.62916706</v>
      </c>
      <c r="N341" s="19">
        <v>0</v>
      </c>
      <c r="O341" s="34">
        <v>0</v>
      </c>
      <c r="P341" s="34">
        <f t="shared" si="36"/>
        <v>-74.62916706</v>
      </c>
      <c r="Q341" s="21">
        <f t="shared" si="32"/>
        <v>74.62916706</v>
      </c>
    </row>
    <row r="342" spans="1:17" x14ac:dyDescent="0.25">
      <c r="A342" s="18" t="s">
        <v>650</v>
      </c>
      <c r="B342" s="19" t="s">
        <v>1451</v>
      </c>
      <c r="C342" s="28">
        <f t="shared" ref="C342:C347" si="37">I342*3%+I342</f>
        <v>69.875200000000007</v>
      </c>
      <c r="D342" s="19" t="s">
        <v>383</v>
      </c>
      <c r="E342" s="19"/>
      <c r="F342" s="19" t="s">
        <v>15</v>
      </c>
      <c r="G342" s="19" t="s">
        <v>16</v>
      </c>
      <c r="H342" s="19" t="s">
        <v>17</v>
      </c>
      <c r="I342" s="19">
        <v>67.84</v>
      </c>
      <c r="J342" s="19" t="s">
        <v>383</v>
      </c>
      <c r="K342" s="19" t="s">
        <v>18</v>
      </c>
      <c r="L342" s="19" t="s">
        <v>650</v>
      </c>
      <c r="M342" s="34">
        <f t="shared" si="35"/>
        <v>84.804735231999999</v>
      </c>
      <c r="N342" s="19">
        <v>0</v>
      </c>
      <c r="O342" s="34">
        <v>0</v>
      </c>
      <c r="P342" s="34">
        <f t="shared" si="36"/>
        <v>-84.804735231999999</v>
      </c>
      <c r="Q342" s="21">
        <f t="shared" si="32"/>
        <v>84.804735231999999</v>
      </c>
    </row>
    <row r="343" spans="1:17" x14ac:dyDescent="0.25">
      <c r="A343" s="18" t="s">
        <v>652</v>
      </c>
      <c r="B343" s="19" t="s">
        <v>1452</v>
      </c>
      <c r="C343" s="28">
        <f t="shared" si="37"/>
        <v>1.0815000000000001</v>
      </c>
      <c r="D343" s="19" t="s">
        <v>13</v>
      </c>
      <c r="E343" s="19" t="s">
        <v>14</v>
      </c>
      <c r="F343" s="19" t="s">
        <v>15</v>
      </c>
      <c r="G343" s="19" t="s">
        <v>16</v>
      </c>
      <c r="H343" s="19" t="s">
        <v>17</v>
      </c>
      <c r="I343" s="19">
        <v>1.05</v>
      </c>
      <c r="J343" s="19" t="s">
        <v>13</v>
      </c>
      <c r="K343" s="19" t="s">
        <v>18</v>
      </c>
      <c r="L343" s="19" t="s">
        <v>652</v>
      </c>
      <c r="M343" s="34">
        <f t="shared" si="35"/>
        <v>1.31257329</v>
      </c>
      <c r="N343" s="19" t="s">
        <v>652</v>
      </c>
      <c r="O343" s="34">
        <v>1.3081</v>
      </c>
      <c r="P343" s="34">
        <f t="shared" si="36"/>
        <v>-4.4732899999999631E-3</v>
      </c>
      <c r="Q343" s="21">
        <f t="shared" si="32"/>
        <v>1.31257329</v>
      </c>
    </row>
    <row r="344" spans="1:17" x14ac:dyDescent="0.25">
      <c r="A344" s="18" t="s">
        <v>654</v>
      </c>
      <c r="B344" s="19" t="s">
        <v>1453</v>
      </c>
      <c r="C344" s="28">
        <f t="shared" si="37"/>
        <v>0.54590000000000005</v>
      </c>
      <c r="D344" s="19" t="s">
        <v>13</v>
      </c>
      <c r="E344" s="19" t="s">
        <v>14</v>
      </c>
      <c r="F344" s="19" t="s">
        <v>15</v>
      </c>
      <c r="G344" s="19" t="s">
        <v>16</v>
      </c>
      <c r="H344" s="19" t="s">
        <v>17</v>
      </c>
      <c r="I344" s="19">
        <v>0.53</v>
      </c>
      <c r="J344" s="19" t="s">
        <v>13</v>
      </c>
      <c r="K344" s="19" t="s">
        <v>18</v>
      </c>
      <c r="L344" s="19" t="s">
        <v>654</v>
      </c>
      <c r="M344" s="34">
        <f t="shared" si="35"/>
        <v>0.66253699399999999</v>
      </c>
      <c r="N344" s="19" t="s">
        <v>654</v>
      </c>
      <c r="O344" s="34">
        <v>0.65920000000000001</v>
      </c>
      <c r="P344" s="34">
        <f t="shared" si="36"/>
        <v>-3.336993999999982E-3</v>
      </c>
      <c r="Q344" s="21">
        <f t="shared" si="32"/>
        <v>0.66253699399999999</v>
      </c>
    </row>
    <row r="345" spans="1:17" x14ac:dyDescent="0.25">
      <c r="A345" s="18" t="s">
        <v>656</v>
      </c>
      <c r="B345" s="19" t="s">
        <v>1454</v>
      </c>
      <c r="C345" s="28">
        <f t="shared" si="37"/>
        <v>41.097000000000001</v>
      </c>
      <c r="D345" s="19" t="s">
        <v>32</v>
      </c>
      <c r="E345" s="19" t="s">
        <v>14</v>
      </c>
      <c r="F345" s="19" t="s">
        <v>33</v>
      </c>
      <c r="G345" s="19" t="s">
        <v>34</v>
      </c>
      <c r="H345" s="19" t="s">
        <v>35</v>
      </c>
      <c r="I345" s="19">
        <v>39.9</v>
      </c>
      <c r="J345" s="19" t="s">
        <v>32</v>
      </c>
      <c r="K345" s="19" t="s">
        <v>18</v>
      </c>
      <c r="L345" s="19" t="s">
        <v>656</v>
      </c>
      <c r="M345" s="34">
        <f t="shared" si="35"/>
        <v>49.877785019999997</v>
      </c>
      <c r="N345" s="19">
        <v>0</v>
      </c>
      <c r="O345" s="34">
        <v>0</v>
      </c>
      <c r="P345" s="34">
        <f t="shared" si="36"/>
        <v>-49.877785019999997</v>
      </c>
      <c r="Q345" s="21">
        <f t="shared" si="32"/>
        <v>49.877785019999997</v>
      </c>
    </row>
    <row r="346" spans="1:17" x14ac:dyDescent="0.25">
      <c r="A346" s="18" t="s">
        <v>658</v>
      </c>
      <c r="B346" s="19" t="s">
        <v>1455</v>
      </c>
      <c r="C346" s="28">
        <f t="shared" si="37"/>
        <v>52.581499999999998</v>
      </c>
      <c r="D346" s="19" t="s">
        <v>32</v>
      </c>
      <c r="E346" s="19" t="s">
        <v>14</v>
      </c>
      <c r="F346" s="19" t="s">
        <v>33</v>
      </c>
      <c r="G346" s="19" t="s">
        <v>34</v>
      </c>
      <c r="H346" s="19" t="s">
        <v>35</v>
      </c>
      <c r="I346" s="19">
        <v>51.05</v>
      </c>
      <c r="J346" s="19" t="s">
        <v>32</v>
      </c>
      <c r="K346" s="19" t="s">
        <v>18</v>
      </c>
      <c r="L346" s="19" t="s">
        <v>658</v>
      </c>
      <c r="M346" s="34">
        <f t="shared" si="35"/>
        <v>63.816063289999995</v>
      </c>
      <c r="N346" s="19">
        <v>0</v>
      </c>
      <c r="O346" s="34">
        <v>0</v>
      </c>
      <c r="P346" s="34">
        <f t="shared" si="36"/>
        <v>-63.816063289999995</v>
      </c>
      <c r="Q346" s="21">
        <f t="shared" si="32"/>
        <v>63.816063289999995</v>
      </c>
    </row>
    <row r="347" spans="1:17" x14ac:dyDescent="0.25">
      <c r="A347" s="18" t="s">
        <v>660</v>
      </c>
      <c r="B347" s="19" t="s">
        <v>1456</v>
      </c>
      <c r="C347" s="28">
        <f t="shared" si="37"/>
        <v>27.037500000000001</v>
      </c>
      <c r="D347" s="19" t="s">
        <v>32</v>
      </c>
      <c r="E347" s="19" t="s">
        <v>14</v>
      </c>
      <c r="F347" s="19" t="s">
        <v>33</v>
      </c>
      <c r="G347" s="19" t="s">
        <v>34</v>
      </c>
      <c r="H347" s="19" t="s">
        <v>35</v>
      </c>
      <c r="I347" s="19">
        <v>26.25</v>
      </c>
      <c r="J347" s="19" t="s">
        <v>32</v>
      </c>
      <c r="K347" s="19" t="s">
        <v>18</v>
      </c>
      <c r="L347" s="19" t="s">
        <v>660</v>
      </c>
      <c r="M347" s="34">
        <f t="shared" si="35"/>
        <v>32.81433225</v>
      </c>
      <c r="N347" s="19">
        <v>0</v>
      </c>
      <c r="O347" s="34">
        <v>0</v>
      </c>
      <c r="P347" s="34">
        <f t="shared" si="36"/>
        <v>-32.81433225</v>
      </c>
      <c r="Q347" s="21">
        <f t="shared" ref="Q347:Q410" si="38">C347*1.21366</f>
        <v>32.81433225</v>
      </c>
    </row>
    <row r="348" spans="1:17" x14ac:dyDescent="0.25">
      <c r="A348" s="18">
        <v>26112</v>
      </c>
      <c r="B348" s="19" t="s">
        <v>1457</v>
      </c>
      <c r="C348" s="28">
        <v>58.32</v>
      </c>
      <c r="D348" s="19" t="s">
        <v>111</v>
      </c>
      <c r="E348" s="19" t="s">
        <v>14</v>
      </c>
      <c r="F348" s="19" t="s">
        <v>33</v>
      </c>
      <c r="G348" s="19" t="s">
        <v>34</v>
      </c>
      <c r="H348" s="19" t="s">
        <v>377</v>
      </c>
      <c r="I348" s="19">
        <v>4.7193069999999997</v>
      </c>
      <c r="J348" s="19" t="s">
        <v>331</v>
      </c>
      <c r="K348" s="19" t="s">
        <v>18</v>
      </c>
      <c r="L348" s="19">
        <v>0</v>
      </c>
      <c r="M348" s="34">
        <f t="shared" si="35"/>
        <v>70.780651199999994</v>
      </c>
      <c r="N348" s="19">
        <v>0</v>
      </c>
      <c r="O348" s="34">
        <v>0</v>
      </c>
      <c r="P348" s="34">
        <f t="shared" si="36"/>
        <v>-70.780651199999994</v>
      </c>
      <c r="Q348" s="21">
        <f t="shared" si="38"/>
        <v>70.780651199999994</v>
      </c>
    </row>
    <row r="349" spans="1:17" x14ac:dyDescent="0.25">
      <c r="A349" s="18">
        <v>26120</v>
      </c>
      <c r="B349" s="19" t="s">
        <v>1458</v>
      </c>
      <c r="C349" s="28">
        <v>60</v>
      </c>
      <c r="D349" s="19" t="s">
        <v>111</v>
      </c>
      <c r="E349" s="19" t="s">
        <v>14</v>
      </c>
      <c r="F349" s="19" t="s">
        <v>33</v>
      </c>
      <c r="G349" s="19" t="s">
        <v>34</v>
      </c>
      <c r="H349" s="19" t="s">
        <v>377</v>
      </c>
      <c r="I349" s="19">
        <v>3.15</v>
      </c>
      <c r="J349" s="19" t="s">
        <v>331</v>
      </c>
      <c r="K349" s="19" t="s">
        <v>18</v>
      </c>
      <c r="L349" s="19">
        <v>0</v>
      </c>
      <c r="M349" s="34">
        <f t="shared" si="35"/>
        <v>72.819599999999994</v>
      </c>
      <c r="N349" s="19">
        <v>0</v>
      </c>
      <c r="O349" s="34">
        <v>0</v>
      </c>
      <c r="P349" s="34">
        <f t="shared" si="36"/>
        <v>-72.819599999999994</v>
      </c>
      <c r="Q349" s="21">
        <f t="shared" si="38"/>
        <v>72.819599999999994</v>
      </c>
    </row>
    <row r="350" spans="1:17" x14ac:dyDescent="0.25">
      <c r="A350" s="18" t="s">
        <v>664</v>
      </c>
      <c r="B350" s="19" t="s">
        <v>1459</v>
      </c>
      <c r="C350" s="28">
        <f>I350*3%+I350</f>
        <v>1.9879</v>
      </c>
      <c r="D350" s="19" t="s">
        <v>13</v>
      </c>
      <c r="E350" s="19" t="s">
        <v>14</v>
      </c>
      <c r="F350" s="19" t="s">
        <v>44</v>
      </c>
      <c r="G350" s="19" t="s">
        <v>45</v>
      </c>
      <c r="H350" s="19" t="s">
        <v>46</v>
      </c>
      <c r="I350" s="19">
        <v>1.93</v>
      </c>
      <c r="J350" s="19" t="s">
        <v>13</v>
      </c>
      <c r="K350" s="19" t="s">
        <v>18</v>
      </c>
      <c r="L350" s="19" t="s">
        <v>664</v>
      </c>
      <c r="M350" s="34">
        <f t="shared" si="35"/>
        <v>2.4126347139999997</v>
      </c>
      <c r="N350" s="19">
        <v>0</v>
      </c>
      <c r="O350" s="34">
        <v>0</v>
      </c>
      <c r="P350" s="34">
        <f t="shared" si="36"/>
        <v>-2.4126347139999997</v>
      </c>
      <c r="Q350" s="21">
        <f t="shared" si="38"/>
        <v>2.4126347139999997</v>
      </c>
    </row>
    <row r="351" spans="1:17" x14ac:dyDescent="0.25">
      <c r="A351" s="18" t="s">
        <v>666</v>
      </c>
      <c r="B351" s="19" t="s">
        <v>1460</v>
      </c>
      <c r="C351" s="28">
        <f t="shared" ref="C351:C358" si="39">I351*3%+I351</f>
        <v>1.8952</v>
      </c>
      <c r="D351" s="19" t="s">
        <v>13</v>
      </c>
      <c r="E351" s="19" t="s">
        <v>14</v>
      </c>
      <c r="F351" s="19" t="s">
        <v>44</v>
      </c>
      <c r="G351" s="19" t="s">
        <v>45</v>
      </c>
      <c r="H351" s="19" t="s">
        <v>46</v>
      </c>
      <c r="I351" s="19">
        <v>1.84</v>
      </c>
      <c r="J351" s="19" t="s">
        <v>13</v>
      </c>
      <c r="K351" s="19" t="s">
        <v>18</v>
      </c>
      <c r="L351" s="19" t="s">
        <v>666</v>
      </c>
      <c r="M351" s="34">
        <f t="shared" si="35"/>
        <v>2.3001284319999997</v>
      </c>
      <c r="N351" s="19">
        <v>0</v>
      </c>
      <c r="O351" s="34">
        <v>0</v>
      </c>
      <c r="P351" s="34">
        <f t="shared" si="36"/>
        <v>-2.3001284319999997</v>
      </c>
      <c r="Q351" s="21">
        <f t="shared" si="38"/>
        <v>2.3001284319999997</v>
      </c>
    </row>
    <row r="352" spans="1:17" x14ac:dyDescent="0.25">
      <c r="A352" s="18" t="s">
        <v>668</v>
      </c>
      <c r="B352" s="19" t="s">
        <v>1461</v>
      </c>
      <c r="C352" s="28">
        <f t="shared" si="39"/>
        <v>1.7509999999999999</v>
      </c>
      <c r="D352" s="19" t="s">
        <v>13</v>
      </c>
      <c r="E352" s="19" t="s">
        <v>14</v>
      </c>
      <c r="F352" s="19" t="s">
        <v>44</v>
      </c>
      <c r="G352" s="19" t="s">
        <v>45</v>
      </c>
      <c r="H352" s="19" t="s">
        <v>46</v>
      </c>
      <c r="I352" s="19">
        <v>1.7</v>
      </c>
      <c r="J352" s="19" t="s">
        <v>13</v>
      </c>
      <c r="K352" s="19" t="s">
        <v>18</v>
      </c>
      <c r="L352" s="19" t="s">
        <v>668</v>
      </c>
      <c r="M352" s="34">
        <f t="shared" si="35"/>
        <v>2.1251186599999996</v>
      </c>
      <c r="N352" s="19">
        <v>0</v>
      </c>
      <c r="O352" s="34">
        <v>0</v>
      </c>
      <c r="P352" s="34">
        <f t="shared" si="36"/>
        <v>-2.1251186599999996</v>
      </c>
      <c r="Q352" s="21">
        <f t="shared" si="38"/>
        <v>2.1251186599999996</v>
      </c>
    </row>
    <row r="353" spans="1:17" x14ac:dyDescent="0.25">
      <c r="A353" s="18" t="s">
        <v>670</v>
      </c>
      <c r="B353" s="19" t="s">
        <v>1462</v>
      </c>
      <c r="C353" s="28">
        <f t="shared" si="39"/>
        <v>1.9466999999999999</v>
      </c>
      <c r="D353" s="19" t="s">
        <v>13</v>
      </c>
      <c r="E353" s="19" t="s">
        <v>14</v>
      </c>
      <c r="F353" s="19" t="s">
        <v>44</v>
      </c>
      <c r="G353" s="19" t="s">
        <v>45</v>
      </c>
      <c r="H353" s="19" t="s">
        <v>46</v>
      </c>
      <c r="I353" s="19">
        <v>1.89</v>
      </c>
      <c r="J353" s="19" t="s">
        <v>13</v>
      </c>
      <c r="K353" s="19" t="s">
        <v>18</v>
      </c>
      <c r="L353" s="19" t="s">
        <v>670</v>
      </c>
      <c r="M353" s="34">
        <f t="shared" si="35"/>
        <v>2.3626319219999998</v>
      </c>
      <c r="N353" s="19">
        <v>0</v>
      </c>
      <c r="O353" s="34">
        <v>0</v>
      </c>
      <c r="P353" s="34">
        <f t="shared" si="36"/>
        <v>-2.3626319219999998</v>
      </c>
      <c r="Q353" s="21">
        <f t="shared" si="38"/>
        <v>2.3626319219999998</v>
      </c>
    </row>
    <row r="354" spans="1:17" x14ac:dyDescent="0.25">
      <c r="A354" s="18" t="s">
        <v>672</v>
      </c>
      <c r="B354" s="19" t="s">
        <v>1463</v>
      </c>
      <c r="C354" s="28">
        <f t="shared" si="39"/>
        <v>1.9982</v>
      </c>
      <c r="D354" s="19" t="s">
        <v>13</v>
      </c>
      <c r="E354" s="19" t="s">
        <v>14</v>
      </c>
      <c r="F354" s="19" t="s">
        <v>44</v>
      </c>
      <c r="G354" s="19" t="s">
        <v>45</v>
      </c>
      <c r="H354" s="19" t="s">
        <v>46</v>
      </c>
      <c r="I354" s="19">
        <v>1.94</v>
      </c>
      <c r="J354" s="19" t="s">
        <v>13</v>
      </c>
      <c r="K354" s="19" t="s">
        <v>18</v>
      </c>
      <c r="L354" s="19" t="s">
        <v>672</v>
      </c>
      <c r="M354" s="34">
        <f t="shared" si="35"/>
        <v>2.4251354119999999</v>
      </c>
      <c r="N354" s="19">
        <v>0</v>
      </c>
      <c r="O354" s="34">
        <v>0</v>
      </c>
      <c r="P354" s="34">
        <f t="shared" si="36"/>
        <v>-2.4251354119999999</v>
      </c>
      <c r="Q354" s="21">
        <f t="shared" si="38"/>
        <v>2.4251354119999999</v>
      </c>
    </row>
    <row r="355" spans="1:17" x14ac:dyDescent="0.25">
      <c r="A355" s="18" t="s">
        <v>674</v>
      </c>
      <c r="B355" s="19" t="s">
        <v>1464</v>
      </c>
      <c r="C355" s="28">
        <f t="shared" si="39"/>
        <v>2.2866000000000004</v>
      </c>
      <c r="D355" s="19" t="s">
        <v>13</v>
      </c>
      <c r="E355" s="19" t="s">
        <v>14</v>
      </c>
      <c r="F355" s="19" t="s">
        <v>44</v>
      </c>
      <c r="G355" s="19" t="s">
        <v>45</v>
      </c>
      <c r="H355" s="19" t="s">
        <v>46</v>
      </c>
      <c r="I355" s="19">
        <v>2.2200000000000002</v>
      </c>
      <c r="J355" s="19" t="s">
        <v>13</v>
      </c>
      <c r="K355" s="19" t="s">
        <v>18</v>
      </c>
      <c r="L355" s="19" t="s">
        <v>674</v>
      </c>
      <c r="M355" s="34">
        <f t="shared" si="35"/>
        <v>2.7751549560000006</v>
      </c>
      <c r="N355" s="19">
        <v>0</v>
      </c>
      <c r="O355" s="34">
        <v>0</v>
      </c>
      <c r="P355" s="34">
        <f t="shared" si="36"/>
        <v>-2.7751549560000006</v>
      </c>
      <c r="Q355" s="21">
        <f t="shared" si="38"/>
        <v>2.7751549560000006</v>
      </c>
    </row>
    <row r="356" spans="1:17" x14ac:dyDescent="0.25">
      <c r="A356" s="18">
        <v>76534010002</v>
      </c>
      <c r="B356" s="19" t="s">
        <v>1465</v>
      </c>
      <c r="C356" s="28">
        <f t="shared" si="39"/>
        <v>0</v>
      </c>
      <c r="D356" s="19" t="s">
        <v>191</v>
      </c>
      <c r="E356" s="19" t="s">
        <v>14</v>
      </c>
      <c r="F356" s="19" t="s">
        <v>33</v>
      </c>
      <c r="G356" s="19" t="s">
        <v>34</v>
      </c>
      <c r="H356" s="19" t="s">
        <v>515</v>
      </c>
      <c r="I356" s="19"/>
      <c r="J356" s="19" t="s">
        <v>527</v>
      </c>
      <c r="K356" s="19" t="s">
        <v>18</v>
      </c>
      <c r="L356" s="19">
        <v>0</v>
      </c>
      <c r="M356" s="34">
        <f t="shared" si="35"/>
        <v>0</v>
      </c>
      <c r="N356" s="19">
        <v>0</v>
      </c>
      <c r="O356" s="34">
        <v>0</v>
      </c>
      <c r="P356" s="34">
        <f t="shared" si="36"/>
        <v>0</v>
      </c>
      <c r="Q356" s="21">
        <f t="shared" si="38"/>
        <v>0</v>
      </c>
    </row>
    <row r="357" spans="1:17" x14ac:dyDescent="0.25">
      <c r="A357" s="18">
        <v>7269725</v>
      </c>
      <c r="B357" s="19" t="s">
        <v>1466</v>
      </c>
      <c r="C357" s="28">
        <f t="shared" si="39"/>
        <v>0</v>
      </c>
      <c r="D357" s="19" t="s">
        <v>111</v>
      </c>
      <c r="E357" s="19" t="s">
        <v>14</v>
      </c>
      <c r="F357" s="19" t="s">
        <v>33</v>
      </c>
      <c r="G357" s="19" t="s">
        <v>34</v>
      </c>
      <c r="H357" s="19" t="s">
        <v>678</v>
      </c>
      <c r="I357" s="19"/>
      <c r="J357" s="19" t="s">
        <v>111</v>
      </c>
      <c r="K357" s="19" t="s">
        <v>18</v>
      </c>
      <c r="L357" s="19">
        <v>0</v>
      </c>
      <c r="M357" s="34">
        <f t="shared" si="35"/>
        <v>0</v>
      </c>
      <c r="N357" s="19">
        <v>0</v>
      </c>
      <c r="O357" s="34">
        <v>0</v>
      </c>
      <c r="P357" s="34">
        <f t="shared" si="36"/>
        <v>0</v>
      </c>
      <c r="Q357" s="21">
        <f t="shared" si="38"/>
        <v>0</v>
      </c>
    </row>
    <row r="358" spans="1:17" x14ac:dyDescent="0.25">
      <c r="A358" s="18">
        <v>7269705</v>
      </c>
      <c r="B358" s="19" t="s">
        <v>1467</v>
      </c>
      <c r="C358" s="28">
        <f t="shared" si="39"/>
        <v>0</v>
      </c>
      <c r="D358" s="19" t="s">
        <v>111</v>
      </c>
      <c r="E358" s="19" t="s">
        <v>14</v>
      </c>
      <c r="F358" s="19" t="s">
        <v>33</v>
      </c>
      <c r="G358" s="19" t="s">
        <v>34</v>
      </c>
      <c r="H358" s="19" t="s">
        <v>678</v>
      </c>
      <c r="I358" s="19"/>
      <c r="J358" s="19" t="s">
        <v>331</v>
      </c>
      <c r="K358" s="19" t="s">
        <v>18</v>
      </c>
      <c r="L358" s="19">
        <v>0</v>
      </c>
      <c r="M358" s="34">
        <f t="shared" si="35"/>
        <v>0</v>
      </c>
      <c r="N358" s="19">
        <v>0</v>
      </c>
      <c r="O358" s="34">
        <v>0</v>
      </c>
      <c r="P358" s="34">
        <f t="shared" si="36"/>
        <v>0</v>
      </c>
      <c r="Q358" s="21">
        <f t="shared" si="38"/>
        <v>0</v>
      </c>
    </row>
    <row r="359" spans="1:17" x14ac:dyDescent="0.25">
      <c r="A359" s="18">
        <v>76534449100</v>
      </c>
      <c r="B359" s="19" t="s">
        <v>1468</v>
      </c>
      <c r="C359" s="28">
        <v>339.77</v>
      </c>
      <c r="D359" s="19" t="s">
        <v>191</v>
      </c>
      <c r="E359" s="19" t="s">
        <v>14</v>
      </c>
      <c r="F359" s="19" t="s">
        <v>33</v>
      </c>
      <c r="G359" s="19" t="s">
        <v>34</v>
      </c>
      <c r="H359" s="19" t="s">
        <v>35</v>
      </c>
      <c r="I359" s="19">
        <v>164.92</v>
      </c>
      <c r="J359" s="19" t="s">
        <v>191</v>
      </c>
      <c r="K359" s="19" t="s">
        <v>18</v>
      </c>
      <c r="L359" s="19">
        <v>0</v>
      </c>
      <c r="M359" s="34">
        <f t="shared" si="35"/>
        <v>412.36525819999997</v>
      </c>
      <c r="N359" s="19">
        <v>0</v>
      </c>
      <c r="O359" s="34">
        <v>0</v>
      </c>
      <c r="P359" s="34">
        <f t="shared" si="36"/>
        <v>-412.36525819999997</v>
      </c>
      <c r="Q359" s="21">
        <f t="shared" si="38"/>
        <v>412.36525819999997</v>
      </c>
    </row>
    <row r="360" spans="1:17" x14ac:dyDescent="0.25">
      <c r="A360" s="18">
        <v>76703125004</v>
      </c>
      <c r="B360" s="19" t="s">
        <v>1469</v>
      </c>
      <c r="C360" s="28">
        <v>594.83000000000004</v>
      </c>
      <c r="D360" s="19" t="s">
        <v>191</v>
      </c>
      <c r="E360" s="19" t="s">
        <v>14</v>
      </c>
      <c r="F360" s="19" t="s">
        <v>33</v>
      </c>
      <c r="G360" s="19" t="s">
        <v>34</v>
      </c>
      <c r="H360" s="19" t="s">
        <v>35</v>
      </c>
      <c r="I360" s="19">
        <v>577.5</v>
      </c>
      <c r="J360" s="19" t="s">
        <v>191</v>
      </c>
      <c r="K360" s="19" t="s">
        <v>18</v>
      </c>
      <c r="L360" s="19">
        <v>0</v>
      </c>
      <c r="M360" s="34">
        <f t="shared" si="35"/>
        <v>721.92137780000007</v>
      </c>
      <c r="N360" s="19">
        <v>0</v>
      </c>
      <c r="O360" s="34">
        <v>0</v>
      </c>
      <c r="P360" s="34">
        <f t="shared" si="36"/>
        <v>-721.92137780000007</v>
      </c>
      <c r="Q360" s="21">
        <f t="shared" si="38"/>
        <v>721.92137780000007</v>
      </c>
    </row>
    <row r="361" spans="1:17" x14ac:dyDescent="0.25">
      <c r="A361" s="18">
        <v>76703125003</v>
      </c>
      <c r="B361" s="19" t="s">
        <v>1470</v>
      </c>
      <c r="C361" s="28">
        <v>670.53</v>
      </c>
      <c r="D361" s="19" t="s">
        <v>191</v>
      </c>
      <c r="E361" s="19" t="s">
        <v>14</v>
      </c>
      <c r="F361" s="19" t="s">
        <v>33</v>
      </c>
      <c r="G361" s="19" t="s">
        <v>34</v>
      </c>
      <c r="H361" s="19" t="s">
        <v>35</v>
      </c>
      <c r="I361" s="19"/>
      <c r="J361" s="19" t="s">
        <v>527</v>
      </c>
      <c r="K361" s="19" t="s">
        <v>18</v>
      </c>
      <c r="L361" s="19">
        <v>0</v>
      </c>
      <c r="M361" s="34">
        <f t="shared" si="35"/>
        <v>813.79543979999994</v>
      </c>
      <c r="N361" s="19">
        <v>0</v>
      </c>
      <c r="O361" s="34">
        <v>0</v>
      </c>
      <c r="P361" s="34">
        <f t="shared" si="36"/>
        <v>-813.79543979999994</v>
      </c>
      <c r="Q361" s="21">
        <f t="shared" si="38"/>
        <v>813.79543979999994</v>
      </c>
    </row>
    <row r="362" spans="1:17" x14ac:dyDescent="0.25">
      <c r="A362" s="18">
        <v>76533005002</v>
      </c>
      <c r="B362" s="19" t="s">
        <v>1471</v>
      </c>
      <c r="C362" s="28">
        <v>250</v>
      </c>
      <c r="D362" s="19" t="s">
        <v>191</v>
      </c>
      <c r="E362" s="19" t="s">
        <v>14</v>
      </c>
      <c r="F362" s="19" t="s">
        <v>33</v>
      </c>
      <c r="G362" s="19" t="s">
        <v>34</v>
      </c>
      <c r="H362" s="19" t="s">
        <v>198</v>
      </c>
      <c r="I362" s="19">
        <v>7.5533999999999999</v>
      </c>
      <c r="J362" s="19" t="s">
        <v>527</v>
      </c>
      <c r="K362" s="19" t="s">
        <v>18</v>
      </c>
      <c r="L362" s="19">
        <v>0</v>
      </c>
      <c r="M362" s="34">
        <f t="shared" si="35"/>
        <v>303.41499999999996</v>
      </c>
      <c r="N362" s="19">
        <v>0</v>
      </c>
      <c r="O362" s="34">
        <v>0</v>
      </c>
      <c r="P362" s="34">
        <f t="shared" si="36"/>
        <v>-303.41499999999996</v>
      </c>
      <c r="Q362" s="21">
        <f t="shared" si="38"/>
        <v>303.41499999999996</v>
      </c>
    </row>
    <row r="363" spans="1:17" x14ac:dyDescent="0.25">
      <c r="A363" s="18" t="s">
        <v>684</v>
      </c>
      <c r="B363" s="19" t="s">
        <v>1472</v>
      </c>
      <c r="C363" s="28">
        <f>I363*3%+I363</f>
        <v>288.44714619000001</v>
      </c>
      <c r="D363" s="19" t="s">
        <v>191</v>
      </c>
      <c r="E363" s="19"/>
      <c r="F363" s="19" t="s">
        <v>33</v>
      </c>
      <c r="G363" s="19" t="s">
        <v>34</v>
      </c>
      <c r="H363" s="19" t="s">
        <v>686</v>
      </c>
      <c r="I363" s="19">
        <v>280.045773</v>
      </c>
      <c r="J363" s="19" t="s">
        <v>191</v>
      </c>
      <c r="K363" s="19" t="s">
        <v>18</v>
      </c>
      <c r="L363" s="19">
        <v>0</v>
      </c>
      <c r="M363" s="34">
        <f t="shared" si="35"/>
        <v>350.07676344495542</v>
      </c>
      <c r="N363" s="19">
        <v>0</v>
      </c>
      <c r="O363" s="34">
        <v>0</v>
      </c>
      <c r="P363" s="34">
        <f t="shared" si="36"/>
        <v>-350.07676344495542</v>
      </c>
      <c r="Q363" s="21">
        <f t="shared" si="38"/>
        <v>350.07676344495542</v>
      </c>
    </row>
    <row r="364" spans="1:17" x14ac:dyDescent="0.25">
      <c r="A364" s="18">
        <v>7261220</v>
      </c>
      <c r="B364" s="19" t="s">
        <v>1473</v>
      </c>
      <c r="C364" s="28">
        <f t="shared" ref="C364:C366" si="40">I364*3%+I364</f>
        <v>78.479762320000006</v>
      </c>
      <c r="D364" s="19" t="s">
        <v>111</v>
      </c>
      <c r="E364" s="19" t="s">
        <v>14</v>
      </c>
      <c r="F364" s="19" t="s">
        <v>33</v>
      </c>
      <c r="G364" s="19" t="s">
        <v>34</v>
      </c>
      <c r="H364" s="19" t="s">
        <v>377</v>
      </c>
      <c r="I364" s="19">
        <v>76.193944000000002</v>
      </c>
      <c r="J364" s="19" t="s">
        <v>111</v>
      </c>
      <c r="K364" s="19" t="s">
        <v>18</v>
      </c>
      <c r="L364" s="19">
        <v>0</v>
      </c>
      <c r="M364" s="34">
        <f t="shared" si="35"/>
        <v>95.247748337291199</v>
      </c>
      <c r="N364" s="19">
        <v>0</v>
      </c>
      <c r="O364" s="34">
        <v>0</v>
      </c>
      <c r="P364" s="34">
        <f t="shared" si="36"/>
        <v>-95.247748337291199</v>
      </c>
      <c r="Q364" s="21">
        <f t="shared" si="38"/>
        <v>95.247748337291199</v>
      </c>
    </row>
    <row r="365" spans="1:17" x14ac:dyDescent="0.25">
      <c r="A365" s="18">
        <v>7270420</v>
      </c>
      <c r="B365" s="19" t="s">
        <v>1474</v>
      </c>
      <c r="C365" s="28">
        <f t="shared" si="40"/>
        <v>142.63365530999999</v>
      </c>
      <c r="D365" s="19" t="s">
        <v>111</v>
      </c>
      <c r="E365" s="19" t="s">
        <v>14</v>
      </c>
      <c r="F365" s="19" t="s">
        <v>33</v>
      </c>
      <c r="G365" s="19" t="s">
        <v>34</v>
      </c>
      <c r="H365" s="19" t="s">
        <v>377</v>
      </c>
      <c r="I365" s="19">
        <v>138.479277</v>
      </c>
      <c r="J365" s="19" t="s">
        <v>111</v>
      </c>
      <c r="K365" s="19" t="s">
        <v>18</v>
      </c>
      <c r="L365" s="19">
        <v>0</v>
      </c>
      <c r="M365" s="34">
        <f t="shared" si="35"/>
        <v>173.10876210353459</v>
      </c>
      <c r="N365" s="19">
        <v>0</v>
      </c>
      <c r="O365" s="34">
        <v>0</v>
      </c>
      <c r="P365" s="34">
        <f t="shared" si="36"/>
        <v>-173.10876210353459</v>
      </c>
      <c r="Q365" s="21">
        <f t="shared" si="38"/>
        <v>173.10876210353459</v>
      </c>
    </row>
    <row r="366" spans="1:17" x14ac:dyDescent="0.25">
      <c r="A366" s="18" t="s">
        <v>689</v>
      </c>
      <c r="B366" s="19" t="s">
        <v>1475</v>
      </c>
      <c r="C366" s="28">
        <f t="shared" si="40"/>
        <v>0</v>
      </c>
      <c r="D366" s="19" t="s">
        <v>13</v>
      </c>
      <c r="E366" s="19" t="s">
        <v>23</v>
      </c>
      <c r="F366" s="19" t="s">
        <v>49</v>
      </c>
      <c r="G366" s="19" t="s">
        <v>50</v>
      </c>
      <c r="H366" s="19" t="s">
        <v>50</v>
      </c>
      <c r="I366" s="19"/>
      <c r="J366" s="19" t="s">
        <v>13</v>
      </c>
      <c r="K366" s="19" t="s">
        <v>18</v>
      </c>
      <c r="L366" s="19">
        <v>0</v>
      </c>
      <c r="M366" s="34">
        <f t="shared" si="35"/>
        <v>0</v>
      </c>
      <c r="N366" s="19">
        <v>0</v>
      </c>
      <c r="O366" s="34">
        <v>0</v>
      </c>
      <c r="P366" s="34">
        <f t="shared" si="36"/>
        <v>0</v>
      </c>
      <c r="Q366" s="21">
        <f t="shared" si="38"/>
        <v>0</v>
      </c>
    </row>
    <row r="367" spans="1:17" x14ac:dyDescent="0.25">
      <c r="A367" s="18" t="s">
        <v>691</v>
      </c>
      <c r="B367" s="19" t="s">
        <v>1476</v>
      </c>
      <c r="C367" s="28">
        <v>1621.17</v>
      </c>
      <c r="D367" s="19" t="s">
        <v>13</v>
      </c>
      <c r="E367" s="19" t="s">
        <v>14</v>
      </c>
      <c r="F367" s="19" t="s">
        <v>33</v>
      </c>
      <c r="G367" s="19" t="s">
        <v>34</v>
      </c>
      <c r="H367" s="19" t="s">
        <v>115</v>
      </c>
      <c r="I367" s="19">
        <v>1573.95</v>
      </c>
      <c r="J367" s="19" t="s">
        <v>13</v>
      </c>
      <c r="K367" s="19" t="s">
        <v>18</v>
      </c>
      <c r="L367" s="19" t="s">
        <v>691</v>
      </c>
      <c r="M367" s="34">
        <f t="shared" si="35"/>
        <v>1967.5491822000001</v>
      </c>
      <c r="N367" s="19">
        <v>0</v>
      </c>
      <c r="O367" s="34">
        <v>0</v>
      </c>
      <c r="P367" s="34">
        <f t="shared" si="36"/>
        <v>-1967.5491822000001</v>
      </c>
      <c r="Q367" s="21">
        <f t="shared" si="38"/>
        <v>1967.5491822000001</v>
      </c>
    </row>
    <row r="368" spans="1:17" x14ac:dyDescent="0.25">
      <c r="A368" s="18" t="s">
        <v>693</v>
      </c>
      <c r="B368" s="19" t="s">
        <v>1477</v>
      </c>
      <c r="C368" s="28">
        <f>I368*3%+I368</f>
        <v>38.635300000000001</v>
      </c>
      <c r="D368" s="19" t="s">
        <v>13</v>
      </c>
      <c r="E368" s="19" t="s">
        <v>14</v>
      </c>
      <c r="F368" s="19" t="s">
        <v>44</v>
      </c>
      <c r="G368" s="19" t="s">
        <v>45</v>
      </c>
      <c r="H368" s="19" t="s">
        <v>46</v>
      </c>
      <c r="I368" s="19">
        <v>37.51</v>
      </c>
      <c r="J368" s="19" t="s">
        <v>13</v>
      </c>
      <c r="K368" s="19" t="s">
        <v>18</v>
      </c>
      <c r="L368" s="19" t="s">
        <v>693</v>
      </c>
      <c r="M368" s="34">
        <f t="shared" si="35"/>
        <v>46.890118197999996</v>
      </c>
      <c r="N368" s="19">
        <v>0</v>
      </c>
      <c r="O368" s="34">
        <v>0</v>
      </c>
      <c r="P368" s="34">
        <f t="shared" si="36"/>
        <v>-46.890118197999996</v>
      </c>
      <c r="Q368" s="21">
        <f t="shared" si="38"/>
        <v>46.890118197999996</v>
      </c>
    </row>
    <row r="369" spans="1:17" x14ac:dyDescent="0.25">
      <c r="A369" s="18">
        <v>7352305</v>
      </c>
      <c r="B369" s="19" t="s">
        <v>1478</v>
      </c>
      <c r="C369" s="28">
        <v>80</v>
      </c>
      <c r="D369" s="19" t="s">
        <v>111</v>
      </c>
      <c r="E369" s="19" t="s">
        <v>14</v>
      </c>
      <c r="F369" s="19" t="s">
        <v>33</v>
      </c>
      <c r="G369" s="19" t="s">
        <v>34</v>
      </c>
      <c r="H369" s="19" t="s">
        <v>696</v>
      </c>
      <c r="I369" s="19">
        <v>19.502099999999999</v>
      </c>
      <c r="J369" s="19" t="s">
        <v>331</v>
      </c>
      <c r="K369" s="19" t="s">
        <v>18</v>
      </c>
      <c r="L369" s="19">
        <v>0</v>
      </c>
      <c r="M369" s="34">
        <f t="shared" si="35"/>
        <v>97.092799999999997</v>
      </c>
      <c r="N369" s="19">
        <v>0</v>
      </c>
      <c r="O369" s="34">
        <v>0</v>
      </c>
      <c r="P369" s="34">
        <f t="shared" si="36"/>
        <v>-97.092799999999997</v>
      </c>
      <c r="Q369" s="21">
        <f t="shared" si="38"/>
        <v>97.092799999999997</v>
      </c>
    </row>
    <row r="370" spans="1:17" x14ac:dyDescent="0.25">
      <c r="A370" s="18">
        <v>7352405</v>
      </c>
      <c r="B370" s="19" t="s">
        <v>1479</v>
      </c>
      <c r="C370" s="28">
        <v>58</v>
      </c>
      <c r="D370" s="19" t="s">
        <v>334</v>
      </c>
      <c r="E370" s="19" t="s">
        <v>14</v>
      </c>
      <c r="F370" s="19" t="s">
        <v>33</v>
      </c>
      <c r="G370" s="19" t="s">
        <v>34</v>
      </c>
      <c r="H370" s="19" t="s">
        <v>696</v>
      </c>
      <c r="I370" s="19">
        <v>90</v>
      </c>
      <c r="J370" s="19" t="s">
        <v>331</v>
      </c>
      <c r="K370" s="19" t="s">
        <v>18</v>
      </c>
      <c r="L370" s="19">
        <v>0</v>
      </c>
      <c r="M370" s="34">
        <f t="shared" si="35"/>
        <v>70.39228</v>
      </c>
      <c r="N370" s="19">
        <v>0</v>
      </c>
      <c r="O370" s="34">
        <v>0</v>
      </c>
      <c r="P370" s="34">
        <f t="shared" si="36"/>
        <v>-70.39228</v>
      </c>
      <c r="Q370" s="21">
        <f t="shared" si="38"/>
        <v>70.39228</v>
      </c>
    </row>
    <row r="371" spans="1:17" x14ac:dyDescent="0.25">
      <c r="A371" s="18" t="s">
        <v>698</v>
      </c>
      <c r="B371" s="19" t="s">
        <v>1480</v>
      </c>
      <c r="C371" s="28">
        <f>I371*3%+I371</f>
        <v>87.034999999999997</v>
      </c>
      <c r="D371" s="19" t="s">
        <v>118</v>
      </c>
      <c r="E371" s="19" t="s">
        <v>14</v>
      </c>
      <c r="F371" s="19" t="s">
        <v>44</v>
      </c>
      <c r="G371" s="19" t="s">
        <v>45</v>
      </c>
      <c r="H371" s="19" t="s">
        <v>23</v>
      </c>
      <c r="I371" s="19">
        <v>84.5</v>
      </c>
      <c r="J371" s="19" t="s">
        <v>118</v>
      </c>
      <c r="K371" s="19" t="s">
        <v>18</v>
      </c>
      <c r="L371" s="19" t="s">
        <v>698</v>
      </c>
      <c r="M371" s="34">
        <f t="shared" si="35"/>
        <v>105.6308981</v>
      </c>
      <c r="N371" s="19">
        <v>0</v>
      </c>
      <c r="O371" s="34">
        <v>0</v>
      </c>
      <c r="P371" s="34">
        <f t="shared" si="36"/>
        <v>-105.6308981</v>
      </c>
      <c r="Q371" s="21">
        <f t="shared" si="38"/>
        <v>105.6308981</v>
      </c>
    </row>
    <row r="372" spans="1:17" x14ac:dyDescent="0.25">
      <c r="A372" s="18">
        <v>2588250</v>
      </c>
      <c r="B372" s="19" t="s">
        <v>1481</v>
      </c>
      <c r="C372" s="28">
        <v>1580</v>
      </c>
      <c r="D372" s="19" t="s">
        <v>504</v>
      </c>
      <c r="E372" s="19" t="s">
        <v>14</v>
      </c>
      <c r="F372" s="19" t="s">
        <v>33</v>
      </c>
      <c r="G372" s="19" t="s">
        <v>34</v>
      </c>
      <c r="H372" s="19" t="s">
        <v>696</v>
      </c>
      <c r="I372" s="19">
        <v>1984.23</v>
      </c>
      <c r="J372" s="19" t="s">
        <v>504</v>
      </c>
      <c r="K372" s="19" t="s">
        <v>18</v>
      </c>
      <c r="L372" s="19">
        <v>0</v>
      </c>
      <c r="M372" s="34">
        <f t="shared" si="35"/>
        <v>1917.5827999999999</v>
      </c>
      <c r="N372" s="19">
        <v>0</v>
      </c>
      <c r="O372" s="34">
        <v>0</v>
      </c>
      <c r="P372" s="34">
        <f t="shared" si="36"/>
        <v>-1917.5827999999999</v>
      </c>
      <c r="Q372" s="21">
        <f t="shared" si="38"/>
        <v>1917.5827999999999</v>
      </c>
    </row>
    <row r="373" spans="1:17" x14ac:dyDescent="0.25">
      <c r="A373" s="18">
        <v>2588350</v>
      </c>
      <c r="B373" s="19" t="s">
        <v>1482</v>
      </c>
      <c r="C373" s="28">
        <v>1380</v>
      </c>
      <c r="D373" s="19" t="s">
        <v>111</v>
      </c>
      <c r="E373" s="19" t="s">
        <v>14</v>
      </c>
      <c r="F373" s="19" t="s">
        <v>33</v>
      </c>
      <c r="G373" s="19" t="s">
        <v>34</v>
      </c>
      <c r="H373" s="19" t="s">
        <v>696</v>
      </c>
      <c r="I373" s="19">
        <v>1672.04</v>
      </c>
      <c r="J373" s="19" t="s">
        <v>111</v>
      </c>
      <c r="K373" s="19" t="s">
        <v>18</v>
      </c>
      <c r="L373" s="19">
        <v>0</v>
      </c>
      <c r="M373" s="34">
        <f t="shared" si="35"/>
        <v>1674.8507999999999</v>
      </c>
      <c r="N373" s="19">
        <v>0</v>
      </c>
      <c r="O373" s="34">
        <v>0</v>
      </c>
      <c r="P373" s="34">
        <f t="shared" si="36"/>
        <v>-1674.8507999999999</v>
      </c>
      <c r="Q373" s="21">
        <f t="shared" si="38"/>
        <v>1674.8507999999999</v>
      </c>
    </row>
    <row r="374" spans="1:17" x14ac:dyDescent="0.25">
      <c r="A374" s="18">
        <v>187810</v>
      </c>
      <c r="B374" s="19" t="s">
        <v>1483</v>
      </c>
      <c r="C374" s="28">
        <v>69</v>
      </c>
      <c r="D374" s="19" t="s">
        <v>111</v>
      </c>
      <c r="E374" s="19" t="s">
        <v>14</v>
      </c>
      <c r="F374" s="19" t="s">
        <v>33</v>
      </c>
      <c r="G374" s="19" t="s">
        <v>34</v>
      </c>
      <c r="H374" s="19" t="s">
        <v>696</v>
      </c>
      <c r="I374" s="19">
        <v>23.33333</v>
      </c>
      <c r="J374" s="19" t="s">
        <v>331</v>
      </c>
      <c r="K374" s="19" t="s">
        <v>18</v>
      </c>
      <c r="L374" s="19">
        <v>0</v>
      </c>
      <c r="M374" s="34">
        <f t="shared" si="35"/>
        <v>83.742539999999991</v>
      </c>
      <c r="N374" s="19">
        <v>0</v>
      </c>
      <c r="O374" s="34">
        <v>0</v>
      </c>
      <c r="P374" s="34">
        <f t="shared" si="36"/>
        <v>-83.742539999999991</v>
      </c>
      <c r="Q374" s="21">
        <f t="shared" si="38"/>
        <v>83.742539999999991</v>
      </c>
    </row>
    <row r="375" spans="1:17" x14ac:dyDescent="0.25">
      <c r="A375" s="18">
        <v>187710</v>
      </c>
      <c r="B375" s="19" t="s">
        <v>1484</v>
      </c>
      <c r="C375" s="28">
        <v>95</v>
      </c>
      <c r="D375" s="19" t="s">
        <v>111</v>
      </c>
      <c r="E375" s="19" t="s">
        <v>14</v>
      </c>
      <c r="F375" s="19" t="s">
        <v>33</v>
      </c>
      <c r="G375" s="19" t="s">
        <v>34</v>
      </c>
      <c r="H375" s="19" t="s">
        <v>696</v>
      </c>
      <c r="I375" s="19">
        <v>19.090900000000001</v>
      </c>
      <c r="J375" s="19" t="s">
        <v>331</v>
      </c>
      <c r="K375" s="19" t="s">
        <v>18</v>
      </c>
      <c r="L375" s="19">
        <v>0</v>
      </c>
      <c r="M375" s="34">
        <f t="shared" si="35"/>
        <v>115.29769999999999</v>
      </c>
      <c r="N375" s="19">
        <v>0</v>
      </c>
      <c r="O375" s="34">
        <v>0</v>
      </c>
      <c r="P375" s="34">
        <f t="shared" si="36"/>
        <v>-115.29769999999999</v>
      </c>
      <c r="Q375" s="21">
        <f t="shared" si="38"/>
        <v>115.29769999999999</v>
      </c>
    </row>
    <row r="376" spans="1:17" x14ac:dyDescent="0.25">
      <c r="A376" s="18">
        <v>221110</v>
      </c>
      <c r="B376" s="19" t="s">
        <v>1485</v>
      </c>
      <c r="C376" s="28">
        <v>158</v>
      </c>
      <c r="D376" s="19" t="s">
        <v>111</v>
      </c>
      <c r="E376" s="19" t="s">
        <v>14</v>
      </c>
      <c r="F376" s="19" t="s">
        <v>33</v>
      </c>
      <c r="G376" s="19" t="s">
        <v>34</v>
      </c>
      <c r="H376" s="19" t="s">
        <v>112</v>
      </c>
      <c r="I376" s="19">
        <v>147.38</v>
      </c>
      <c r="J376" s="19" t="s">
        <v>111</v>
      </c>
      <c r="K376" s="19" t="s">
        <v>18</v>
      </c>
      <c r="L376" s="19">
        <v>0</v>
      </c>
      <c r="M376" s="34">
        <f t="shared" si="35"/>
        <v>191.75827999999998</v>
      </c>
      <c r="N376" s="19">
        <v>0</v>
      </c>
      <c r="O376" s="34">
        <v>0</v>
      </c>
      <c r="P376" s="34">
        <f t="shared" si="36"/>
        <v>-191.75827999999998</v>
      </c>
      <c r="Q376" s="21">
        <f t="shared" si="38"/>
        <v>191.75827999999998</v>
      </c>
    </row>
    <row r="377" spans="1:17" x14ac:dyDescent="0.25">
      <c r="A377" s="18" t="s">
        <v>705</v>
      </c>
      <c r="B377" s="19" t="s">
        <v>1486</v>
      </c>
      <c r="C377" s="28">
        <v>402</v>
      </c>
      <c r="D377" s="19" t="s">
        <v>13</v>
      </c>
      <c r="E377" s="19" t="s">
        <v>14</v>
      </c>
      <c r="F377" s="19" t="s">
        <v>33</v>
      </c>
      <c r="G377" s="19" t="s">
        <v>34</v>
      </c>
      <c r="H377" s="19" t="s">
        <v>115</v>
      </c>
      <c r="I377" s="19">
        <v>389.92</v>
      </c>
      <c r="J377" s="19" t="s">
        <v>13</v>
      </c>
      <c r="K377" s="19" t="s">
        <v>18</v>
      </c>
      <c r="L377" s="19" t="s">
        <v>705</v>
      </c>
      <c r="M377" s="34">
        <f t="shared" si="35"/>
        <v>487.89132000000001</v>
      </c>
      <c r="N377" s="19" t="s">
        <v>705</v>
      </c>
      <c r="O377" s="34">
        <v>487.42689999999999</v>
      </c>
      <c r="P377" s="34">
        <f t="shared" si="36"/>
        <v>-0.46442000000001826</v>
      </c>
      <c r="Q377" s="21">
        <f t="shared" si="38"/>
        <v>487.89132000000001</v>
      </c>
    </row>
    <row r="378" spans="1:17" x14ac:dyDescent="0.25">
      <c r="A378" s="18" t="s">
        <v>707</v>
      </c>
      <c r="B378" s="19" t="s">
        <v>1487</v>
      </c>
      <c r="C378" s="28">
        <v>1027</v>
      </c>
      <c r="D378" s="19" t="s">
        <v>242</v>
      </c>
      <c r="E378" s="19" t="s">
        <v>14</v>
      </c>
      <c r="F378" s="19" t="s">
        <v>33</v>
      </c>
      <c r="G378" s="19" t="s">
        <v>34</v>
      </c>
      <c r="H378" s="19" t="s">
        <v>115</v>
      </c>
      <c r="I378" s="19">
        <v>997.5</v>
      </c>
      <c r="J378" s="19" t="s">
        <v>242</v>
      </c>
      <c r="K378" s="19" t="s">
        <v>18</v>
      </c>
      <c r="L378" s="19" t="s">
        <v>707</v>
      </c>
      <c r="M378" s="34">
        <f t="shared" si="35"/>
        <v>1246.4288199999999</v>
      </c>
      <c r="N378" s="19">
        <v>0</v>
      </c>
      <c r="O378" s="34">
        <v>0</v>
      </c>
      <c r="P378" s="34">
        <f t="shared" si="36"/>
        <v>-1246.4288199999999</v>
      </c>
      <c r="Q378" s="21">
        <f t="shared" si="38"/>
        <v>1246.4288199999999</v>
      </c>
    </row>
    <row r="379" spans="1:17" x14ac:dyDescent="0.25">
      <c r="A379" s="18" t="s">
        <v>709</v>
      </c>
      <c r="B379" s="19" t="s">
        <v>1488</v>
      </c>
      <c r="C379" s="28">
        <v>1071</v>
      </c>
      <c r="D379" s="19" t="s">
        <v>242</v>
      </c>
      <c r="E379" s="19" t="s">
        <v>14</v>
      </c>
      <c r="F379" s="19" t="s">
        <v>33</v>
      </c>
      <c r="G379" s="19" t="s">
        <v>34</v>
      </c>
      <c r="H379" s="19" t="s">
        <v>115</v>
      </c>
      <c r="I379" s="19">
        <v>1039.5</v>
      </c>
      <c r="J379" s="19" t="s">
        <v>242</v>
      </c>
      <c r="K379" s="19" t="s">
        <v>18</v>
      </c>
      <c r="L379" s="19" t="s">
        <v>709</v>
      </c>
      <c r="M379" s="34">
        <f t="shared" si="35"/>
        <v>1299.8298600000001</v>
      </c>
      <c r="N379" s="19">
        <v>0</v>
      </c>
      <c r="O379" s="34">
        <v>0</v>
      </c>
      <c r="P379" s="34">
        <f t="shared" si="36"/>
        <v>-1299.8298600000001</v>
      </c>
      <c r="Q379" s="21">
        <f t="shared" si="38"/>
        <v>1299.8298600000001</v>
      </c>
    </row>
    <row r="380" spans="1:17" x14ac:dyDescent="0.25">
      <c r="A380" s="18" t="s">
        <v>711</v>
      </c>
      <c r="B380" s="19" t="s">
        <v>1489</v>
      </c>
      <c r="C380" s="28">
        <v>1352</v>
      </c>
      <c r="D380" s="19" t="s">
        <v>242</v>
      </c>
      <c r="E380" s="19" t="s">
        <v>14</v>
      </c>
      <c r="F380" s="19" t="s">
        <v>33</v>
      </c>
      <c r="G380" s="19" t="s">
        <v>34</v>
      </c>
      <c r="H380" s="19" t="s">
        <v>115</v>
      </c>
      <c r="I380" s="19">
        <v>1312.5</v>
      </c>
      <c r="J380" s="19" t="s">
        <v>242</v>
      </c>
      <c r="K380" s="19" t="s">
        <v>18</v>
      </c>
      <c r="L380" s="19" t="s">
        <v>711</v>
      </c>
      <c r="M380" s="34">
        <f t="shared" si="35"/>
        <v>1640.86832</v>
      </c>
      <c r="N380" s="19">
        <v>0</v>
      </c>
      <c r="O380" s="34">
        <v>0</v>
      </c>
      <c r="P380" s="34">
        <f t="shared" si="36"/>
        <v>-1640.86832</v>
      </c>
      <c r="Q380" s="21">
        <f t="shared" si="38"/>
        <v>1640.86832</v>
      </c>
    </row>
    <row r="381" spans="1:17" x14ac:dyDescent="0.25">
      <c r="A381" s="18" t="s">
        <v>713</v>
      </c>
      <c r="B381" s="19" t="s">
        <v>1490</v>
      </c>
      <c r="C381" s="28">
        <v>1488</v>
      </c>
      <c r="D381" s="19" t="s">
        <v>242</v>
      </c>
      <c r="E381" s="19" t="s">
        <v>14</v>
      </c>
      <c r="F381" s="19" t="s">
        <v>33</v>
      </c>
      <c r="G381" s="19" t="s">
        <v>34</v>
      </c>
      <c r="H381" s="19" t="s">
        <v>115</v>
      </c>
      <c r="I381" s="19">
        <v>1443.75</v>
      </c>
      <c r="J381" s="19" t="s">
        <v>242</v>
      </c>
      <c r="K381" s="19" t="s">
        <v>18</v>
      </c>
      <c r="L381" s="19" t="s">
        <v>713</v>
      </c>
      <c r="M381" s="34">
        <f t="shared" si="35"/>
        <v>1805.92608</v>
      </c>
      <c r="N381" s="19">
        <v>0</v>
      </c>
      <c r="O381" s="34">
        <v>0</v>
      </c>
      <c r="P381" s="34">
        <f t="shared" si="36"/>
        <v>-1805.92608</v>
      </c>
      <c r="Q381" s="21">
        <f t="shared" si="38"/>
        <v>1805.92608</v>
      </c>
    </row>
    <row r="382" spans="1:17" x14ac:dyDescent="0.25">
      <c r="A382" s="18" t="s">
        <v>715</v>
      </c>
      <c r="B382" s="19" t="s">
        <v>1491</v>
      </c>
      <c r="C382" s="28">
        <v>1908</v>
      </c>
      <c r="D382" s="19" t="s">
        <v>242</v>
      </c>
      <c r="E382" s="19" t="s">
        <v>14</v>
      </c>
      <c r="F382" s="19" t="s">
        <v>33</v>
      </c>
      <c r="G382" s="19" t="s">
        <v>34</v>
      </c>
      <c r="H382" s="19" t="s">
        <v>115</v>
      </c>
      <c r="I382" s="19">
        <v>1853.25</v>
      </c>
      <c r="J382" s="19" t="s">
        <v>242</v>
      </c>
      <c r="K382" s="19" t="s">
        <v>18</v>
      </c>
      <c r="L382" s="19" t="s">
        <v>715</v>
      </c>
      <c r="M382" s="34">
        <f t="shared" si="35"/>
        <v>2315.6632799999998</v>
      </c>
      <c r="N382" s="19">
        <v>0</v>
      </c>
      <c r="O382" s="34">
        <v>0</v>
      </c>
      <c r="P382" s="34">
        <f t="shared" si="36"/>
        <v>-2315.6632799999998</v>
      </c>
      <c r="Q382" s="21">
        <f t="shared" si="38"/>
        <v>2315.6632799999998</v>
      </c>
    </row>
    <row r="383" spans="1:17" x14ac:dyDescent="0.25">
      <c r="A383" s="18" t="s">
        <v>717</v>
      </c>
      <c r="B383" s="19" t="s">
        <v>1492</v>
      </c>
      <c r="C383" s="28">
        <v>1947</v>
      </c>
      <c r="D383" s="19" t="s">
        <v>242</v>
      </c>
      <c r="E383" s="19" t="s">
        <v>14</v>
      </c>
      <c r="F383" s="19" t="s">
        <v>33</v>
      </c>
      <c r="G383" s="19" t="s">
        <v>34</v>
      </c>
      <c r="H383" s="19" t="s">
        <v>115</v>
      </c>
      <c r="I383" s="19">
        <v>1890</v>
      </c>
      <c r="J383" s="19" t="s">
        <v>242</v>
      </c>
      <c r="K383" s="19" t="s">
        <v>18</v>
      </c>
      <c r="L383" s="19" t="s">
        <v>717</v>
      </c>
      <c r="M383" s="34">
        <f t="shared" si="35"/>
        <v>2362.99602</v>
      </c>
      <c r="N383" s="19">
        <v>0</v>
      </c>
      <c r="O383" s="34">
        <v>0</v>
      </c>
      <c r="P383" s="34">
        <f t="shared" si="36"/>
        <v>-2362.99602</v>
      </c>
      <c r="Q383" s="21">
        <f t="shared" si="38"/>
        <v>2362.99602</v>
      </c>
    </row>
    <row r="384" spans="1:17" x14ac:dyDescent="0.25">
      <c r="A384" s="18" t="s">
        <v>719</v>
      </c>
      <c r="B384" s="19" t="s">
        <v>1493</v>
      </c>
      <c r="C384" s="28">
        <v>500</v>
      </c>
      <c r="D384" s="19" t="s">
        <v>13</v>
      </c>
      <c r="E384" s="19" t="s">
        <v>14</v>
      </c>
      <c r="F384" s="19" t="s">
        <v>33</v>
      </c>
      <c r="G384" s="19" t="s">
        <v>34</v>
      </c>
      <c r="H384" s="19" t="s">
        <v>115</v>
      </c>
      <c r="I384" s="19">
        <v>388.28</v>
      </c>
      <c r="J384" s="19" t="s">
        <v>13</v>
      </c>
      <c r="K384" s="19" t="s">
        <v>18</v>
      </c>
      <c r="L384" s="19" t="s">
        <v>719</v>
      </c>
      <c r="M384" s="34">
        <f t="shared" si="35"/>
        <v>606.82999999999993</v>
      </c>
      <c r="N384" s="19">
        <v>0</v>
      </c>
      <c r="O384" s="34">
        <v>0</v>
      </c>
      <c r="P384" s="34">
        <f t="shared" si="36"/>
        <v>-606.82999999999993</v>
      </c>
      <c r="Q384" s="21">
        <f t="shared" si="38"/>
        <v>606.82999999999993</v>
      </c>
    </row>
    <row r="385" spans="1:17" x14ac:dyDescent="0.25">
      <c r="A385" s="18" t="s">
        <v>721</v>
      </c>
      <c r="B385" s="19" t="s">
        <v>1494</v>
      </c>
      <c r="C385" s="28">
        <v>1244</v>
      </c>
      <c r="D385" s="19" t="s">
        <v>242</v>
      </c>
      <c r="E385" s="19" t="s">
        <v>14</v>
      </c>
      <c r="F385" s="19" t="s">
        <v>33</v>
      </c>
      <c r="G385" s="19" t="s">
        <v>34</v>
      </c>
      <c r="H385" s="19" t="s">
        <v>115</v>
      </c>
      <c r="I385" s="19">
        <v>1207.5</v>
      </c>
      <c r="J385" s="19" t="s">
        <v>242</v>
      </c>
      <c r="K385" s="19" t="s">
        <v>18</v>
      </c>
      <c r="L385" s="19" t="s">
        <v>721</v>
      </c>
      <c r="M385" s="34">
        <f t="shared" si="35"/>
        <v>1509.79304</v>
      </c>
      <c r="N385" s="19">
        <v>0</v>
      </c>
      <c r="O385" s="34">
        <v>0</v>
      </c>
      <c r="P385" s="34">
        <f t="shared" si="36"/>
        <v>-1509.79304</v>
      </c>
      <c r="Q385" s="21">
        <f t="shared" si="38"/>
        <v>1509.79304</v>
      </c>
    </row>
    <row r="386" spans="1:17" x14ac:dyDescent="0.25">
      <c r="A386" s="18" t="s">
        <v>723</v>
      </c>
      <c r="B386" s="19" t="s">
        <v>1495</v>
      </c>
      <c r="C386" s="28">
        <v>1757</v>
      </c>
      <c r="D386" s="19" t="s">
        <v>242</v>
      </c>
      <c r="E386" s="19" t="s">
        <v>14</v>
      </c>
      <c r="F386" s="19" t="s">
        <v>33</v>
      </c>
      <c r="G386" s="19" t="s">
        <v>34</v>
      </c>
      <c r="H386" s="19" t="s">
        <v>115</v>
      </c>
      <c r="I386" s="19">
        <v>1706.25</v>
      </c>
      <c r="J386" s="19" t="s">
        <v>242</v>
      </c>
      <c r="K386" s="19" t="s">
        <v>18</v>
      </c>
      <c r="L386" s="19" t="s">
        <v>723</v>
      </c>
      <c r="M386" s="34">
        <f t="shared" si="35"/>
        <v>2132.4006199999999</v>
      </c>
      <c r="N386" s="19">
        <v>0</v>
      </c>
      <c r="O386" s="34">
        <v>0</v>
      </c>
      <c r="P386" s="34">
        <f t="shared" si="36"/>
        <v>-2132.4006199999999</v>
      </c>
      <c r="Q386" s="21">
        <f t="shared" si="38"/>
        <v>2132.4006199999999</v>
      </c>
    </row>
    <row r="387" spans="1:17" x14ac:dyDescent="0.25">
      <c r="A387" s="18" t="s">
        <v>725</v>
      </c>
      <c r="B387" s="19" t="s">
        <v>1496</v>
      </c>
      <c r="C387" s="28">
        <v>1947</v>
      </c>
      <c r="D387" s="19" t="s">
        <v>242</v>
      </c>
      <c r="E387" s="19" t="s">
        <v>14</v>
      </c>
      <c r="F387" s="19" t="s">
        <v>33</v>
      </c>
      <c r="G387" s="19" t="s">
        <v>34</v>
      </c>
      <c r="H387" s="19" t="s">
        <v>115</v>
      </c>
      <c r="I387" s="19">
        <v>1890</v>
      </c>
      <c r="J387" s="19" t="s">
        <v>242</v>
      </c>
      <c r="K387" s="19" t="s">
        <v>18</v>
      </c>
      <c r="L387" s="19" t="s">
        <v>725</v>
      </c>
      <c r="M387" s="34">
        <f t="shared" si="35"/>
        <v>2362.99602</v>
      </c>
      <c r="N387" s="19">
        <v>0</v>
      </c>
      <c r="O387" s="34">
        <v>0</v>
      </c>
      <c r="P387" s="34">
        <f t="shared" si="36"/>
        <v>-2362.99602</v>
      </c>
      <c r="Q387" s="21">
        <f t="shared" si="38"/>
        <v>2362.99602</v>
      </c>
    </row>
    <row r="388" spans="1:17" x14ac:dyDescent="0.25">
      <c r="A388" s="18" t="s">
        <v>727</v>
      </c>
      <c r="B388" s="19" t="s">
        <v>1497</v>
      </c>
      <c r="C388" s="28">
        <v>985</v>
      </c>
      <c r="D388" s="19" t="s">
        <v>13</v>
      </c>
      <c r="E388" s="19" t="s">
        <v>14</v>
      </c>
      <c r="F388" s="19" t="s">
        <v>33</v>
      </c>
      <c r="G388" s="19" t="s">
        <v>34</v>
      </c>
      <c r="H388" s="19" t="s">
        <v>115</v>
      </c>
      <c r="I388" s="19">
        <v>956.55</v>
      </c>
      <c r="J388" s="19" t="s">
        <v>13</v>
      </c>
      <c r="K388" s="19" t="s">
        <v>18</v>
      </c>
      <c r="L388" s="19" t="s">
        <v>727</v>
      </c>
      <c r="M388" s="34">
        <f t="shared" ref="M388:M447" si="41">C388*1.21366</f>
        <v>1195.4550999999999</v>
      </c>
      <c r="N388" s="19">
        <v>0</v>
      </c>
      <c r="O388" s="34">
        <v>0</v>
      </c>
      <c r="P388" s="34">
        <f t="shared" ref="P388:P447" si="42">O388-M388</f>
        <v>-1195.4550999999999</v>
      </c>
      <c r="Q388" s="21">
        <f t="shared" si="38"/>
        <v>1195.4550999999999</v>
      </c>
    </row>
    <row r="389" spans="1:17" x14ac:dyDescent="0.25">
      <c r="A389" s="18" t="s">
        <v>729</v>
      </c>
      <c r="B389" s="19" t="s">
        <v>1498</v>
      </c>
      <c r="C389" s="28">
        <v>1423</v>
      </c>
      <c r="D389" s="19" t="s">
        <v>13</v>
      </c>
      <c r="E389" s="19" t="s">
        <v>14</v>
      </c>
      <c r="F389" s="19" t="s">
        <v>33</v>
      </c>
      <c r="G389" s="19" t="s">
        <v>34</v>
      </c>
      <c r="H389" s="19" t="s">
        <v>115</v>
      </c>
      <c r="I389" s="19">
        <v>1382.33</v>
      </c>
      <c r="J389" s="19" t="s">
        <v>13</v>
      </c>
      <c r="K389" s="19" t="s">
        <v>18</v>
      </c>
      <c r="L389" s="19" t="s">
        <v>729</v>
      </c>
      <c r="M389" s="34">
        <f t="shared" si="41"/>
        <v>1727.03818</v>
      </c>
      <c r="N389" s="19" t="s">
        <v>729</v>
      </c>
      <c r="O389" s="34">
        <v>1640.7179000000001</v>
      </c>
      <c r="P389" s="34">
        <f t="shared" si="42"/>
        <v>-86.320279999999912</v>
      </c>
      <c r="Q389" s="21">
        <f t="shared" si="38"/>
        <v>1727.03818</v>
      </c>
    </row>
    <row r="390" spans="1:17" x14ac:dyDescent="0.25">
      <c r="A390" s="18" t="s">
        <v>731</v>
      </c>
      <c r="B390" s="19" t="s">
        <v>1499</v>
      </c>
      <c r="C390" s="28">
        <v>1460</v>
      </c>
      <c r="D390" s="19" t="s">
        <v>13</v>
      </c>
      <c r="E390" s="19" t="s">
        <v>14</v>
      </c>
      <c r="F390" s="19" t="s">
        <v>33</v>
      </c>
      <c r="G390" s="19" t="s">
        <v>34</v>
      </c>
      <c r="H390" s="19" t="s">
        <v>115</v>
      </c>
      <c r="I390" s="19">
        <v>1417.5</v>
      </c>
      <c r="J390" s="19" t="s">
        <v>13</v>
      </c>
      <c r="K390" s="19" t="s">
        <v>18</v>
      </c>
      <c r="L390" s="19" t="s">
        <v>731</v>
      </c>
      <c r="M390" s="34">
        <f t="shared" si="41"/>
        <v>1771.9435999999998</v>
      </c>
      <c r="N390" s="19">
        <v>0</v>
      </c>
      <c r="O390" s="34">
        <v>0</v>
      </c>
      <c r="P390" s="34">
        <f t="shared" si="42"/>
        <v>-1771.9435999999998</v>
      </c>
      <c r="Q390" s="21">
        <f t="shared" si="38"/>
        <v>1771.9435999999998</v>
      </c>
    </row>
    <row r="391" spans="1:17" x14ac:dyDescent="0.25">
      <c r="A391" s="18" t="s">
        <v>733</v>
      </c>
      <c r="B391" s="19" t="s">
        <v>1500</v>
      </c>
      <c r="C391" s="28">
        <f>I391*3%+I391</f>
        <v>135.1875</v>
      </c>
      <c r="D391" s="19" t="s">
        <v>13</v>
      </c>
      <c r="E391" s="19" t="s">
        <v>23</v>
      </c>
      <c r="F391" s="19" t="s">
        <v>49</v>
      </c>
      <c r="G391" s="19" t="s">
        <v>50</v>
      </c>
      <c r="H391" s="19" t="s">
        <v>50</v>
      </c>
      <c r="I391" s="19">
        <v>131.25</v>
      </c>
      <c r="J391" s="19" t="s">
        <v>13</v>
      </c>
      <c r="K391" s="19" t="s">
        <v>18</v>
      </c>
      <c r="L391" s="19" t="s">
        <v>733</v>
      </c>
      <c r="M391" s="34">
        <f t="shared" si="41"/>
        <v>164.07166125000001</v>
      </c>
      <c r="N391" s="19">
        <v>0</v>
      </c>
      <c r="O391" s="34">
        <v>0</v>
      </c>
      <c r="P391" s="34">
        <f t="shared" si="42"/>
        <v>-164.07166125000001</v>
      </c>
      <c r="Q391" s="21">
        <f t="shared" si="38"/>
        <v>164.07166125000001</v>
      </c>
    </row>
    <row r="392" spans="1:17" x14ac:dyDescent="0.25">
      <c r="A392" s="18" t="s">
        <v>735</v>
      </c>
      <c r="B392" s="19" t="s">
        <v>1501</v>
      </c>
      <c r="C392" s="28">
        <f t="shared" ref="C392:C394" si="43">I392*3%+I392</f>
        <v>519.12</v>
      </c>
      <c r="D392" s="19" t="s">
        <v>13</v>
      </c>
      <c r="E392" s="19" t="s">
        <v>14</v>
      </c>
      <c r="F392" s="19" t="s">
        <v>33</v>
      </c>
      <c r="G392" s="19" t="s">
        <v>34</v>
      </c>
      <c r="H392" s="19" t="s">
        <v>115</v>
      </c>
      <c r="I392" s="19">
        <v>504</v>
      </c>
      <c r="J392" s="19" t="s">
        <v>13</v>
      </c>
      <c r="K392" s="19" t="s">
        <v>18</v>
      </c>
      <c r="L392" s="19" t="s">
        <v>735</v>
      </c>
      <c r="M392" s="34">
        <f t="shared" si="41"/>
        <v>630.03517920000002</v>
      </c>
      <c r="N392" s="19">
        <v>0</v>
      </c>
      <c r="O392" s="34">
        <v>0</v>
      </c>
      <c r="P392" s="34">
        <f t="shared" si="42"/>
        <v>-630.03517920000002</v>
      </c>
      <c r="Q392" s="21">
        <f t="shared" si="38"/>
        <v>630.03517920000002</v>
      </c>
    </row>
    <row r="393" spans="1:17" x14ac:dyDescent="0.25">
      <c r="A393" s="18" t="s">
        <v>737</v>
      </c>
      <c r="B393" s="19" t="s">
        <v>1502</v>
      </c>
      <c r="C393" s="28">
        <f t="shared" si="43"/>
        <v>1622.25</v>
      </c>
      <c r="D393" s="19" t="s">
        <v>13</v>
      </c>
      <c r="E393" s="19" t="s">
        <v>14</v>
      </c>
      <c r="F393" s="19" t="s">
        <v>33</v>
      </c>
      <c r="G393" s="19" t="s">
        <v>34</v>
      </c>
      <c r="H393" s="19" t="s">
        <v>115</v>
      </c>
      <c r="I393" s="19">
        <v>1575</v>
      </c>
      <c r="J393" s="19" t="s">
        <v>13</v>
      </c>
      <c r="K393" s="19" t="s">
        <v>18</v>
      </c>
      <c r="L393" s="19" t="s">
        <v>737</v>
      </c>
      <c r="M393" s="34">
        <f t="shared" si="41"/>
        <v>1968.859935</v>
      </c>
      <c r="N393" s="19">
        <v>0</v>
      </c>
      <c r="O393" s="34">
        <v>0</v>
      </c>
      <c r="P393" s="34">
        <f t="shared" si="42"/>
        <v>-1968.859935</v>
      </c>
      <c r="Q393" s="21">
        <f t="shared" si="38"/>
        <v>1968.859935</v>
      </c>
    </row>
    <row r="394" spans="1:17" x14ac:dyDescent="0.25">
      <c r="A394" s="18" t="s">
        <v>739</v>
      </c>
      <c r="B394" s="19" t="s">
        <v>1503</v>
      </c>
      <c r="C394" s="28">
        <f t="shared" si="43"/>
        <v>1135.575</v>
      </c>
      <c r="D394" s="19" t="s">
        <v>13</v>
      </c>
      <c r="E394" s="19" t="s">
        <v>14</v>
      </c>
      <c r="F394" s="19" t="s">
        <v>33</v>
      </c>
      <c r="G394" s="19" t="s">
        <v>34</v>
      </c>
      <c r="H394" s="19" t="s">
        <v>115</v>
      </c>
      <c r="I394" s="19">
        <v>1102.5</v>
      </c>
      <c r="J394" s="19" t="s">
        <v>13</v>
      </c>
      <c r="K394" s="19" t="s">
        <v>18</v>
      </c>
      <c r="L394" s="19" t="s">
        <v>739</v>
      </c>
      <c r="M394" s="34">
        <f t="shared" si="41"/>
        <v>1378.2019545000001</v>
      </c>
      <c r="N394" s="19">
        <v>0</v>
      </c>
      <c r="O394" s="34">
        <v>0</v>
      </c>
      <c r="P394" s="34">
        <f t="shared" si="42"/>
        <v>-1378.2019545000001</v>
      </c>
      <c r="Q394" s="21">
        <f t="shared" si="38"/>
        <v>1378.2019545000001</v>
      </c>
    </row>
    <row r="395" spans="1:17" x14ac:dyDescent="0.25">
      <c r="A395" s="18">
        <v>2516005</v>
      </c>
      <c r="B395" s="19" t="s">
        <v>1504</v>
      </c>
      <c r="C395" s="28">
        <v>120.8</v>
      </c>
      <c r="D395" s="19" t="s">
        <v>118</v>
      </c>
      <c r="E395" s="19" t="s">
        <v>14</v>
      </c>
      <c r="F395" s="19" t="s">
        <v>33</v>
      </c>
      <c r="G395" s="19" t="s">
        <v>34</v>
      </c>
      <c r="H395" s="19" t="s">
        <v>330</v>
      </c>
      <c r="I395" s="19">
        <v>23.456499000000001</v>
      </c>
      <c r="J395" s="19" t="s">
        <v>331</v>
      </c>
      <c r="K395" s="19" t="s">
        <v>18</v>
      </c>
      <c r="L395" s="19">
        <v>0</v>
      </c>
      <c r="M395" s="34">
        <f t="shared" si="41"/>
        <v>146.610128</v>
      </c>
      <c r="N395" s="19">
        <v>0</v>
      </c>
      <c r="O395" s="34">
        <v>0</v>
      </c>
      <c r="P395" s="34">
        <f t="shared" si="42"/>
        <v>-146.610128</v>
      </c>
      <c r="Q395" s="21">
        <f t="shared" si="38"/>
        <v>146.610128</v>
      </c>
    </row>
    <row r="396" spans="1:17" x14ac:dyDescent="0.25">
      <c r="A396" s="18">
        <v>2580714</v>
      </c>
      <c r="B396" s="19" t="s">
        <v>1505</v>
      </c>
      <c r="C396" s="28">
        <v>200.85</v>
      </c>
      <c r="D396" s="19" t="s">
        <v>111</v>
      </c>
      <c r="E396" s="19"/>
      <c r="F396" s="19" t="s">
        <v>33</v>
      </c>
      <c r="G396" s="19" t="s">
        <v>34</v>
      </c>
      <c r="H396" s="19" t="s">
        <v>112</v>
      </c>
      <c r="I396" s="19">
        <v>195</v>
      </c>
      <c r="J396" s="19" t="s">
        <v>111</v>
      </c>
      <c r="K396" s="19" t="s">
        <v>18</v>
      </c>
      <c r="L396" s="19">
        <v>0</v>
      </c>
      <c r="M396" s="34">
        <f t="shared" si="41"/>
        <v>243.763611</v>
      </c>
      <c r="N396" s="19">
        <v>0</v>
      </c>
      <c r="O396" s="34">
        <v>0</v>
      </c>
      <c r="P396" s="34">
        <f t="shared" si="42"/>
        <v>-243.763611</v>
      </c>
      <c r="Q396" s="21">
        <f t="shared" si="38"/>
        <v>243.763611</v>
      </c>
    </row>
    <row r="397" spans="1:17" x14ac:dyDescent="0.25">
      <c r="A397" s="18" t="s">
        <v>743</v>
      </c>
      <c r="B397" s="19" t="s">
        <v>1506</v>
      </c>
      <c r="C397" s="28">
        <v>4000</v>
      </c>
      <c r="D397" s="19" t="s">
        <v>504</v>
      </c>
      <c r="E397" s="19" t="s">
        <v>14</v>
      </c>
      <c r="F397" s="19" t="s">
        <v>33</v>
      </c>
      <c r="G397" s="19" t="s">
        <v>34</v>
      </c>
      <c r="H397" s="19" t="s">
        <v>696</v>
      </c>
      <c r="I397" s="19">
        <v>18.666699999999999</v>
      </c>
      <c r="J397" s="19" t="s">
        <v>331</v>
      </c>
      <c r="K397" s="19" t="s">
        <v>18</v>
      </c>
      <c r="L397" s="19">
        <v>0</v>
      </c>
      <c r="M397" s="34">
        <f t="shared" si="41"/>
        <v>4854.6399999999994</v>
      </c>
      <c r="N397" s="19">
        <v>0</v>
      </c>
      <c r="O397" s="34">
        <v>0</v>
      </c>
      <c r="P397" s="34">
        <f t="shared" si="42"/>
        <v>-4854.6399999999994</v>
      </c>
      <c r="Q397" s="21">
        <f t="shared" si="38"/>
        <v>4854.6399999999994</v>
      </c>
    </row>
    <row r="398" spans="1:17" x14ac:dyDescent="0.25">
      <c r="A398" s="18" t="s">
        <v>745</v>
      </c>
      <c r="B398" s="19" t="s">
        <v>1507</v>
      </c>
      <c r="C398" s="28">
        <v>2400</v>
      </c>
      <c r="D398" s="19" t="s">
        <v>504</v>
      </c>
      <c r="E398" s="19" t="s">
        <v>14</v>
      </c>
      <c r="F398" s="19" t="s">
        <v>33</v>
      </c>
      <c r="G398" s="19" t="s">
        <v>34</v>
      </c>
      <c r="H398" s="19" t="s">
        <v>696</v>
      </c>
      <c r="I398" s="19">
        <v>3167.8447500000002</v>
      </c>
      <c r="J398" s="19" t="s">
        <v>504</v>
      </c>
      <c r="K398" s="19" t="s">
        <v>18</v>
      </c>
      <c r="L398" s="19">
        <v>0</v>
      </c>
      <c r="M398" s="34">
        <f t="shared" si="41"/>
        <v>2912.7840000000001</v>
      </c>
      <c r="N398" s="19">
        <v>0</v>
      </c>
      <c r="O398" s="34">
        <v>0</v>
      </c>
      <c r="P398" s="34">
        <f t="shared" si="42"/>
        <v>-2912.7840000000001</v>
      </c>
      <c r="Q398" s="21">
        <f t="shared" si="38"/>
        <v>2912.7840000000001</v>
      </c>
    </row>
    <row r="399" spans="1:17" x14ac:dyDescent="0.25">
      <c r="A399" s="18">
        <v>7351614</v>
      </c>
      <c r="B399" s="19" t="s">
        <v>1508</v>
      </c>
      <c r="C399" s="28">
        <v>100</v>
      </c>
      <c r="D399" s="19" t="s">
        <v>111</v>
      </c>
      <c r="E399" s="19" t="s">
        <v>14</v>
      </c>
      <c r="F399" s="19" t="s">
        <v>33</v>
      </c>
      <c r="G399" s="19" t="s">
        <v>34</v>
      </c>
      <c r="H399" s="19" t="s">
        <v>696</v>
      </c>
      <c r="I399" s="19">
        <v>120.86</v>
      </c>
      <c r="J399" s="19" t="s">
        <v>111</v>
      </c>
      <c r="K399" s="19" t="s">
        <v>18</v>
      </c>
      <c r="L399" s="19">
        <v>0</v>
      </c>
      <c r="M399" s="34">
        <f t="shared" si="41"/>
        <v>121.366</v>
      </c>
      <c r="N399" s="19">
        <v>0</v>
      </c>
      <c r="O399" s="34">
        <v>0</v>
      </c>
      <c r="P399" s="34">
        <f t="shared" si="42"/>
        <v>-121.366</v>
      </c>
      <c r="Q399" s="21">
        <f t="shared" si="38"/>
        <v>121.366</v>
      </c>
    </row>
    <row r="400" spans="1:17" x14ac:dyDescent="0.25">
      <c r="A400" s="18">
        <v>7351714</v>
      </c>
      <c r="B400" s="19" t="s">
        <v>1509</v>
      </c>
      <c r="C400" s="28">
        <v>84</v>
      </c>
      <c r="D400" s="19" t="s">
        <v>111</v>
      </c>
      <c r="E400" s="19" t="s">
        <v>14</v>
      </c>
      <c r="F400" s="19" t="s">
        <v>33</v>
      </c>
      <c r="G400" s="19" t="s">
        <v>34</v>
      </c>
      <c r="H400" s="19" t="s">
        <v>696</v>
      </c>
      <c r="I400" s="19">
        <v>122.53</v>
      </c>
      <c r="J400" s="19" t="s">
        <v>111</v>
      </c>
      <c r="K400" s="19" t="s">
        <v>18</v>
      </c>
      <c r="L400" s="19">
        <v>0</v>
      </c>
      <c r="M400" s="34">
        <f t="shared" si="41"/>
        <v>101.94744</v>
      </c>
      <c r="N400" s="19">
        <v>0</v>
      </c>
      <c r="O400" s="34">
        <v>0</v>
      </c>
      <c r="P400" s="34">
        <f t="shared" si="42"/>
        <v>-101.94744</v>
      </c>
      <c r="Q400" s="21">
        <f t="shared" si="38"/>
        <v>101.94744</v>
      </c>
    </row>
    <row r="401" spans="1:17" x14ac:dyDescent="0.25">
      <c r="A401" s="18">
        <v>7356377</v>
      </c>
      <c r="B401" s="19" t="s">
        <v>1510</v>
      </c>
      <c r="C401" s="28">
        <v>2500</v>
      </c>
      <c r="D401" s="19" t="s">
        <v>504</v>
      </c>
      <c r="E401" s="19" t="s">
        <v>14</v>
      </c>
      <c r="F401" s="19" t="s">
        <v>33</v>
      </c>
      <c r="G401" s="19" t="s">
        <v>34</v>
      </c>
      <c r="H401" s="19" t="s">
        <v>696</v>
      </c>
      <c r="I401" s="19">
        <v>4324.25</v>
      </c>
      <c r="J401" s="19" t="s">
        <v>504</v>
      </c>
      <c r="K401" s="19" t="s">
        <v>18</v>
      </c>
      <c r="L401" s="19">
        <v>0</v>
      </c>
      <c r="M401" s="34">
        <f t="shared" si="41"/>
        <v>3034.15</v>
      </c>
      <c r="N401" s="19">
        <v>0</v>
      </c>
      <c r="O401" s="34">
        <v>0</v>
      </c>
      <c r="P401" s="34">
        <f t="shared" si="42"/>
        <v>-3034.15</v>
      </c>
      <c r="Q401" s="21">
        <f t="shared" si="38"/>
        <v>3034.15</v>
      </c>
    </row>
    <row r="402" spans="1:17" x14ac:dyDescent="0.25">
      <c r="A402" s="18">
        <v>7356476</v>
      </c>
      <c r="B402" s="19" t="s">
        <v>1511</v>
      </c>
      <c r="C402" s="28">
        <v>2500</v>
      </c>
      <c r="D402" s="19" t="s">
        <v>504</v>
      </c>
      <c r="E402" s="19" t="s">
        <v>14</v>
      </c>
      <c r="F402" s="19" t="s">
        <v>33</v>
      </c>
      <c r="G402" s="19" t="s">
        <v>34</v>
      </c>
      <c r="H402" s="19" t="s">
        <v>696</v>
      </c>
      <c r="I402" s="19">
        <v>3577.6</v>
      </c>
      <c r="J402" s="19" t="s">
        <v>504</v>
      </c>
      <c r="K402" s="19" t="s">
        <v>18</v>
      </c>
      <c r="L402" s="19">
        <v>0</v>
      </c>
      <c r="M402" s="34">
        <f t="shared" si="41"/>
        <v>3034.15</v>
      </c>
      <c r="N402" s="19">
        <v>0</v>
      </c>
      <c r="O402" s="34">
        <v>0</v>
      </c>
      <c r="P402" s="34">
        <f t="shared" si="42"/>
        <v>-3034.15</v>
      </c>
      <c r="Q402" s="21">
        <f t="shared" si="38"/>
        <v>3034.15</v>
      </c>
    </row>
    <row r="403" spans="1:17" x14ac:dyDescent="0.25">
      <c r="A403" s="18">
        <v>7352531</v>
      </c>
      <c r="B403" s="19" t="s">
        <v>1512</v>
      </c>
      <c r="C403" s="28">
        <v>118</v>
      </c>
      <c r="D403" s="19" t="s">
        <v>111</v>
      </c>
      <c r="E403" s="19" t="s">
        <v>14</v>
      </c>
      <c r="F403" s="19" t="s">
        <v>33</v>
      </c>
      <c r="G403" s="19" t="s">
        <v>34</v>
      </c>
      <c r="H403" s="19" t="s">
        <v>112</v>
      </c>
      <c r="I403" s="19">
        <v>32.741700000000002</v>
      </c>
      <c r="J403" s="19" t="s">
        <v>283</v>
      </c>
      <c r="K403" s="19" t="s">
        <v>18</v>
      </c>
      <c r="L403" s="19">
        <v>0</v>
      </c>
      <c r="M403" s="34">
        <f t="shared" si="41"/>
        <v>143.21188000000001</v>
      </c>
      <c r="N403" s="19">
        <v>0</v>
      </c>
      <c r="O403" s="34">
        <v>0</v>
      </c>
      <c r="P403" s="34">
        <f t="shared" si="42"/>
        <v>-143.21188000000001</v>
      </c>
      <c r="Q403" s="21">
        <f t="shared" si="38"/>
        <v>143.21188000000001</v>
      </c>
    </row>
    <row r="404" spans="1:17" x14ac:dyDescent="0.25">
      <c r="A404" s="18" t="s">
        <v>752</v>
      </c>
      <c r="B404" s="19" t="s">
        <v>1513</v>
      </c>
      <c r="C404" s="28">
        <v>262.642</v>
      </c>
      <c r="D404" s="19" t="s">
        <v>111</v>
      </c>
      <c r="E404" s="19" t="s">
        <v>14</v>
      </c>
      <c r="F404" s="19" t="s">
        <v>33</v>
      </c>
      <c r="G404" s="19" t="s">
        <v>34</v>
      </c>
      <c r="H404" s="19" t="s">
        <v>112</v>
      </c>
      <c r="I404" s="19">
        <v>20.901</v>
      </c>
      <c r="J404" s="19" t="s">
        <v>331</v>
      </c>
      <c r="K404" s="19" t="s">
        <v>18</v>
      </c>
      <c r="L404" s="19">
        <v>0</v>
      </c>
      <c r="M404" s="34">
        <f t="shared" si="41"/>
        <v>318.75808971999999</v>
      </c>
      <c r="N404" s="19">
        <v>0</v>
      </c>
      <c r="O404" s="34">
        <v>0</v>
      </c>
      <c r="P404" s="34">
        <f t="shared" si="42"/>
        <v>-318.75808971999999</v>
      </c>
      <c r="Q404" s="21">
        <f t="shared" si="38"/>
        <v>318.75808971999999</v>
      </c>
    </row>
    <row r="405" spans="1:17" x14ac:dyDescent="0.25">
      <c r="A405" s="18" t="s">
        <v>754</v>
      </c>
      <c r="B405" s="19" t="s">
        <v>1514</v>
      </c>
      <c r="C405" s="28">
        <v>63.73</v>
      </c>
      <c r="D405" s="19" t="s">
        <v>111</v>
      </c>
      <c r="E405" s="19" t="s">
        <v>14</v>
      </c>
      <c r="F405" s="19" t="s">
        <v>33</v>
      </c>
      <c r="G405" s="19" t="s">
        <v>34</v>
      </c>
      <c r="H405" s="19" t="s">
        <v>112</v>
      </c>
      <c r="I405" s="19">
        <v>61.878</v>
      </c>
      <c r="J405" s="19" t="s">
        <v>111</v>
      </c>
      <c r="K405" s="19" t="s">
        <v>18</v>
      </c>
      <c r="L405" s="19">
        <v>0</v>
      </c>
      <c r="M405" s="34">
        <f t="shared" si="41"/>
        <v>77.3465518</v>
      </c>
      <c r="N405" s="19">
        <v>0</v>
      </c>
      <c r="O405" s="34">
        <v>0</v>
      </c>
      <c r="P405" s="34">
        <f t="shared" si="42"/>
        <v>-77.3465518</v>
      </c>
      <c r="Q405" s="21">
        <f t="shared" si="38"/>
        <v>77.3465518</v>
      </c>
    </row>
    <row r="406" spans="1:17" x14ac:dyDescent="0.25">
      <c r="A406" s="18" t="s">
        <v>756</v>
      </c>
      <c r="B406" s="19" t="s">
        <v>1515</v>
      </c>
      <c r="C406" s="28">
        <v>150</v>
      </c>
      <c r="D406" s="19" t="s">
        <v>111</v>
      </c>
      <c r="E406" s="19" t="s">
        <v>14</v>
      </c>
      <c r="F406" s="19" t="s">
        <v>33</v>
      </c>
      <c r="G406" s="19" t="s">
        <v>34</v>
      </c>
      <c r="H406" s="19" t="s">
        <v>112</v>
      </c>
      <c r="I406" s="19">
        <v>11.1393</v>
      </c>
      <c r="J406" s="19" t="s">
        <v>331</v>
      </c>
      <c r="K406" s="19" t="s">
        <v>18</v>
      </c>
      <c r="L406" s="19">
        <v>0</v>
      </c>
      <c r="M406" s="34">
        <f t="shared" si="41"/>
        <v>182.04900000000001</v>
      </c>
      <c r="N406" s="19">
        <v>0</v>
      </c>
      <c r="O406" s="34">
        <v>0</v>
      </c>
      <c r="P406" s="34">
        <f t="shared" si="42"/>
        <v>-182.04900000000001</v>
      </c>
      <c r="Q406" s="21">
        <f t="shared" si="38"/>
        <v>182.04900000000001</v>
      </c>
    </row>
    <row r="407" spans="1:17" x14ac:dyDescent="0.25">
      <c r="A407" s="18">
        <v>7353020</v>
      </c>
      <c r="B407" s="19" t="s">
        <v>1516</v>
      </c>
      <c r="C407" s="28">
        <f>I407*3%+I407</f>
        <v>1.02176</v>
      </c>
      <c r="D407" s="19" t="s">
        <v>111</v>
      </c>
      <c r="E407" s="19" t="s">
        <v>14</v>
      </c>
      <c r="F407" s="19" t="s">
        <v>33</v>
      </c>
      <c r="G407" s="19" t="s">
        <v>34</v>
      </c>
      <c r="H407" s="19" t="s">
        <v>696</v>
      </c>
      <c r="I407" s="19">
        <v>0.99199999999999999</v>
      </c>
      <c r="J407" s="19" t="s">
        <v>331</v>
      </c>
      <c r="K407" s="19" t="s">
        <v>18</v>
      </c>
      <c r="L407" s="19">
        <v>0</v>
      </c>
      <c r="M407" s="34">
        <f t="shared" si="41"/>
        <v>1.2400692415999999</v>
      </c>
      <c r="N407" s="19">
        <v>0</v>
      </c>
      <c r="O407" s="34">
        <v>0</v>
      </c>
      <c r="P407" s="34">
        <f t="shared" si="42"/>
        <v>-1.2400692415999999</v>
      </c>
      <c r="Q407" s="21">
        <f t="shared" si="38"/>
        <v>1.2400692415999999</v>
      </c>
    </row>
    <row r="408" spans="1:17" x14ac:dyDescent="0.25">
      <c r="A408" s="18" t="s">
        <v>759</v>
      </c>
      <c r="B408" s="19" t="s">
        <v>1517</v>
      </c>
      <c r="C408" s="28">
        <v>760</v>
      </c>
      <c r="D408" s="19" t="s">
        <v>191</v>
      </c>
      <c r="E408" s="19" t="s">
        <v>14</v>
      </c>
      <c r="F408" s="19" t="s">
        <v>33</v>
      </c>
      <c r="G408" s="19" t="s">
        <v>34</v>
      </c>
      <c r="H408" s="19" t="s">
        <v>250</v>
      </c>
      <c r="I408" s="19">
        <v>735</v>
      </c>
      <c r="J408" s="19" t="s">
        <v>191</v>
      </c>
      <c r="K408" s="19" t="s">
        <v>18</v>
      </c>
      <c r="L408" s="19" t="s">
        <v>759</v>
      </c>
      <c r="M408" s="34">
        <f t="shared" si="41"/>
        <v>922.38159999999993</v>
      </c>
      <c r="N408" s="19">
        <v>0</v>
      </c>
      <c r="O408" s="34">
        <v>0</v>
      </c>
      <c r="P408" s="34">
        <f t="shared" si="42"/>
        <v>-922.38159999999993</v>
      </c>
      <c r="Q408" s="21">
        <f t="shared" si="38"/>
        <v>922.38159999999993</v>
      </c>
    </row>
    <row r="409" spans="1:17" x14ac:dyDescent="0.25">
      <c r="A409" s="18" t="s">
        <v>761</v>
      </c>
      <c r="B409" s="19" t="s">
        <v>1518</v>
      </c>
      <c r="C409" s="28">
        <v>432.6</v>
      </c>
      <c r="D409" s="19" t="s">
        <v>191</v>
      </c>
      <c r="E409" s="19" t="s">
        <v>14</v>
      </c>
      <c r="F409" s="19" t="s">
        <v>33</v>
      </c>
      <c r="G409" s="19" t="s">
        <v>34</v>
      </c>
      <c r="H409" s="19" t="s">
        <v>250</v>
      </c>
      <c r="I409" s="19"/>
      <c r="J409" s="19" t="s">
        <v>191</v>
      </c>
      <c r="K409" s="19" t="s">
        <v>18</v>
      </c>
      <c r="L409" s="19">
        <v>0</v>
      </c>
      <c r="M409" s="34">
        <f t="shared" si="41"/>
        <v>525.02931599999999</v>
      </c>
      <c r="N409" s="19">
        <v>0</v>
      </c>
      <c r="O409" s="34">
        <v>0</v>
      </c>
      <c r="P409" s="34">
        <f t="shared" si="42"/>
        <v>-525.02931599999999</v>
      </c>
      <c r="Q409" s="21">
        <f t="shared" si="38"/>
        <v>525.02931599999999</v>
      </c>
    </row>
    <row r="410" spans="1:17" x14ac:dyDescent="0.25">
      <c r="A410" s="18" t="s">
        <v>763</v>
      </c>
      <c r="B410" s="19" t="s">
        <v>1519</v>
      </c>
      <c r="C410" s="28">
        <v>216.3</v>
      </c>
      <c r="D410" s="19" t="s">
        <v>191</v>
      </c>
      <c r="E410" s="19" t="s">
        <v>14</v>
      </c>
      <c r="F410" s="19" t="s">
        <v>33</v>
      </c>
      <c r="G410" s="19" t="s">
        <v>34</v>
      </c>
      <c r="H410" s="19" t="s">
        <v>250</v>
      </c>
      <c r="I410" s="19"/>
      <c r="J410" s="19" t="s">
        <v>191</v>
      </c>
      <c r="K410" s="19" t="s">
        <v>18</v>
      </c>
      <c r="L410" s="19">
        <v>0</v>
      </c>
      <c r="M410" s="34">
        <f t="shared" si="41"/>
        <v>262.514658</v>
      </c>
      <c r="N410" s="19">
        <v>0</v>
      </c>
      <c r="O410" s="34">
        <v>0</v>
      </c>
      <c r="P410" s="34">
        <f t="shared" si="42"/>
        <v>-262.514658</v>
      </c>
      <c r="Q410" s="21">
        <f t="shared" si="38"/>
        <v>262.514658</v>
      </c>
    </row>
    <row r="411" spans="1:17" x14ac:dyDescent="0.25">
      <c r="A411" s="18" t="s">
        <v>765</v>
      </c>
      <c r="B411" s="19" t="s">
        <v>1520</v>
      </c>
      <c r="C411" s="28">
        <v>308.22000000000003</v>
      </c>
      <c r="D411" s="19" t="s">
        <v>191</v>
      </c>
      <c r="E411" s="19" t="s">
        <v>14</v>
      </c>
      <c r="F411" s="19" t="s">
        <v>33</v>
      </c>
      <c r="G411" s="19" t="s">
        <v>34</v>
      </c>
      <c r="H411" s="19" t="s">
        <v>250</v>
      </c>
      <c r="I411" s="19">
        <v>299.25</v>
      </c>
      <c r="J411" s="19" t="s">
        <v>191</v>
      </c>
      <c r="K411" s="19" t="s">
        <v>18</v>
      </c>
      <c r="L411" s="19" t="s">
        <v>765</v>
      </c>
      <c r="M411" s="34">
        <f t="shared" si="41"/>
        <v>374.07428520000002</v>
      </c>
      <c r="N411" s="19">
        <v>0</v>
      </c>
      <c r="O411" s="34">
        <v>0</v>
      </c>
      <c r="P411" s="34">
        <f t="shared" si="42"/>
        <v>-374.07428520000002</v>
      </c>
      <c r="Q411" s="21">
        <f t="shared" ref="Q411:Q455" si="44">C411*1.21366</f>
        <v>374.07428520000002</v>
      </c>
    </row>
    <row r="412" spans="1:17" x14ac:dyDescent="0.25">
      <c r="A412" s="18" t="s">
        <v>767</v>
      </c>
      <c r="B412" s="19" t="s">
        <v>1521</v>
      </c>
      <c r="C412" s="28">
        <v>243.34</v>
      </c>
      <c r="D412" s="19" t="s">
        <v>191</v>
      </c>
      <c r="E412" s="19" t="s">
        <v>14</v>
      </c>
      <c r="F412" s="19" t="s">
        <v>33</v>
      </c>
      <c r="G412" s="19" t="s">
        <v>34</v>
      </c>
      <c r="H412" s="19" t="s">
        <v>250</v>
      </c>
      <c r="I412" s="19">
        <v>236.25</v>
      </c>
      <c r="J412" s="19" t="s">
        <v>191</v>
      </c>
      <c r="K412" s="19" t="s">
        <v>18</v>
      </c>
      <c r="L412" s="19" t="s">
        <v>767</v>
      </c>
      <c r="M412" s="34">
        <f t="shared" si="41"/>
        <v>295.33202440000002</v>
      </c>
      <c r="N412" s="19">
        <v>0</v>
      </c>
      <c r="O412" s="34">
        <v>0</v>
      </c>
      <c r="P412" s="34">
        <f t="shared" si="42"/>
        <v>-295.33202440000002</v>
      </c>
      <c r="Q412" s="21">
        <f t="shared" si="44"/>
        <v>295.33202440000002</v>
      </c>
    </row>
    <row r="413" spans="1:17" x14ac:dyDescent="0.25">
      <c r="A413" s="18" t="s">
        <v>769</v>
      </c>
      <c r="B413" s="19" t="s">
        <v>1522</v>
      </c>
      <c r="C413" s="28">
        <v>32.450000000000003</v>
      </c>
      <c r="D413" s="19" t="s">
        <v>13</v>
      </c>
      <c r="E413" s="19" t="s">
        <v>14</v>
      </c>
      <c r="F413" s="19" t="s">
        <v>33</v>
      </c>
      <c r="G413" s="19" t="s">
        <v>34</v>
      </c>
      <c r="H413" s="19" t="s">
        <v>250</v>
      </c>
      <c r="I413" s="19">
        <v>31.5</v>
      </c>
      <c r="J413" s="19" t="s">
        <v>13</v>
      </c>
      <c r="K413" s="19" t="s">
        <v>18</v>
      </c>
      <c r="L413" s="19" t="s">
        <v>769</v>
      </c>
      <c r="M413" s="34">
        <f t="shared" si="41"/>
        <v>39.383267000000004</v>
      </c>
      <c r="N413" s="19">
        <v>0</v>
      </c>
      <c r="O413" s="34">
        <v>0</v>
      </c>
      <c r="P413" s="34">
        <f t="shared" si="42"/>
        <v>-39.383267000000004</v>
      </c>
      <c r="Q413" s="21">
        <f t="shared" si="44"/>
        <v>39.383267000000004</v>
      </c>
    </row>
    <row r="414" spans="1:17" x14ac:dyDescent="0.25">
      <c r="A414" s="18" t="s">
        <v>771</v>
      </c>
      <c r="B414" s="19" t="s">
        <v>1523</v>
      </c>
      <c r="C414" s="28">
        <v>36</v>
      </c>
      <c r="D414" s="19" t="s">
        <v>13</v>
      </c>
      <c r="E414" s="19" t="s">
        <v>14</v>
      </c>
      <c r="F414" s="19" t="s">
        <v>33</v>
      </c>
      <c r="G414" s="19" t="s">
        <v>34</v>
      </c>
      <c r="H414" s="19" t="s">
        <v>250</v>
      </c>
      <c r="I414" s="19">
        <v>26.78</v>
      </c>
      <c r="J414" s="19" t="s">
        <v>13</v>
      </c>
      <c r="K414" s="19" t="s">
        <v>18</v>
      </c>
      <c r="L414" s="19" t="s">
        <v>771</v>
      </c>
      <c r="M414" s="34">
        <f t="shared" si="41"/>
        <v>43.691760000000002</v>
      </c>
      <c r="N414" s="19" t="s">
        <v>771</v>
      </c>
      <c r="O414" s="34">
        <v>33.475000000000001</v>
      </c>
      <c r="P414" s="34">
        <f t="shared" si="42"/>
        <v>-10.216760000000001</v>
      </c>
      <c r="Q414" s="21">
        <f t="shared" si="44"/>
        <v>43.691760000000002</v>
      </c>
    </row>
    <row r="415" spans="1:17" x14ac:dyDescent="0.25">
      <c r="A415" s="18" t="s">
        <v>773</v>
      </c>
      <c r="B415" s="19" t="s">
        <v>1524</v>
      </c>
      <c r="C415" s="28">
        <v>151.41</v>
      </c>
      <c r="D415" s="19" t="s">
        <v>191</v>
      </c>
      <c r="E415" s="19" t="s">
        <v>14</v>
      </c>
      <c r="F415" s="19" t="s">
        <v>33</v>
      </c>
      <c r="G415" s="19" t="s">
        <v>34</v>
      </c>
      <c r="H415" s="19" t="s">
        <v>250</v>
      </c>
      <c r="I415" s="19">
        <v>147</v>
      </c>
      <c r="J415" s="19" t="s">
        <v>191</v>
      </c>
      <c r="K415" s="19" t="s">
        <v>18</v>
      </c>
      <c r="L415" s="19" t="s">
        <v>773</v>
      </c>
      <c r="M415" s="34">
        <f t="shared" si="41"/>
        <v>183.76026059999998</v>
      </c>
      <c r="N415" s="19" t="s">
        <v>773</v>
      </c>
      <c r="O415" s="34">
        <v>183.76230000000001</v>
      </c>
      <c r="P415" s="34">
        <f t="shared" si="42"/>
        <v>2.0394000000294454E-3</v>
      </c>
      <c r="Q415" s="21">
        <f t="shared" si="44"/>
        <v>183.76026059999998</v>
      </c>
    </row>
    <row r="416" spans="1:17" x14ac:dyDescent="0.25">
      <c r="A416" s="18" t="s">
        <v>775</v>
      </c>
      <c r="B416" s="19" t="s">
        <v>1525</v>
      </c>
      <c r="C416" s="28">
        <v>40</v>
      </c>
      <c r="D416" s="19" t="s">
        <v>13</v>
      </c>
      <c r="E416" s="19" t="s">
        <v>14</v>
      </c>
      <c r="F416" s="19" t="s">
        <v>33</v>
      </c>
      <c r="G416" s="19" t="s">
        <v>34</v>
      </c>
      <c r="H416" s="19" t="s">
        <v>250</v>
      </c>
      <c r="I416" s="19">
        <v>26.46</v>
      </c>
      <c r="J416" s="19" t="s">
        <v>13</v>
      </c>
      <c r="K416" s="19" t="s">
        <v>18</v>
      </c>
      <c r="L416" s="19" t="s">
        <v>775</v>
      </c>
      <c r="M416" s="34">
        <f t="shared" si="41"/>
        <v>48.546399999999998</v>
      </c>
      <c r="N416" s="19" t="s">
        <v>775</v>
      </c>
      <c r="O416" s="34">
        <v>33.073300000000003</v>
      </c>
      <c r="P416" s="34">
        <f t="shared" si="42"/>
        <v>-15.473099999999995</v>
      </c>
      <c r="Q416" s="21">
        <f t="shared" si="44"/>
        <v>48.546399999999998</v>
      </c>
    </row>
    <row r="417" spans="1:17" x14ac:dyDescent="0.25">
      <c r="A417" s="18" t="s">
        <v>777</v>
      </c>
      <c r="B417" s="19" t="s">
        <v>1526</v>
      </c>
      <c r="C417" s="28">
        <v>1000</v>
      </c>
      <c r="D417" s="19" t="s">
        <v>191</v>
      </c>
      <c r="E417" s="19" t="s">
        <v>14</v>
      </c>
      <c r="F417" s="19" t="s">
        <v>33</v>
      </c>
      <c r="G417" s="19" t="s">
        <v>34</v>
      </c>
      <c r="H417" s="19" t="s">
        <v>250</v>
      </c>
      <c r="I417" s="19">
        <v>1041.5999999999999</v>
      </c>
      <c r="J417" s="19" t="s">
        <v>191</v>
      </c>
      <c r="K417" s="19" t="s">
        <v>18</v>
      </c>
      <c r="L417" s="19" t="s">
        <v>777</v>
      </c>
      <c r="M417" s="34">
        <f t="shared" si="41"/>
        <v>1213.6599999999999</v>
      </c>
      <c r="N417" s="19" t="s">
        <v>777</v>
      </c>
      <c r="O417" s="34">
        <v>1302.0744999999999</v>
      </c>
      <c r="P417" s="34">
        <f t="shared" si="42"/>
        <v>88.414500000000089</v>
      </c>
      <c r="Q417" s="21">
        <f t="shared" si="44"/>
        <v>1213.6599999999999</v>
      </c>
    </row>
    <row r="418" spans="1:17" x14ac:dyDescent="0.25">
      <c r="A418" s="18" t="s">
        <v>779</v>
      </c>
      <c r="B418" s="19" t="s">
        <v>1527</v>
      </c>
      <c r="C418" s="28">
        <v>31.9</v>
      </c>
      <c r="D418" s="19" t="s">
        <v>13</v>
      </c>
      <c r="E418" s="19" t="s">
        <v>14</v>
      </c>
      <c r="F418" s="19" t="s">
        <v>33</v>
      </c>
      <c r="G418" s="19" t="s">
        <v>34</v>
      </c>
      <c r="H418" s="19" t="s">
        <v>250</v>
      </c>
      <c r="I418" s="19">
        <v>30.98</v>
      </c>
      <c r="J418" s="19" t="s">
        <v>13</v>
      </c>
      <c r="K418" s="19" t="s">
        <v>18</v>
      </c>
      <c r="L418" s="19" t="s">
        <v>779</v>
      </c>
      <c r="M418" s="34">
        <f t="shared" si="41"/>
        <v>38.715753999999997</v>
      </c>
      <c r="N418" s="19">
        <v>0</v>
      </c>
      <c r="O418" s="34">
        <v>0</v>
      </c>
      <c r="P418" s="34">
        <f t="shared" si="42"/>
        <v>-38.715753999999997</v>
      </c>
      <c r="Q418" s="21">
        <f t="shared" si="44"/>
        <v>38.715753999999997</v>
      </c>
    </row>
    <row r="419" spans="1:17" x14ac:dyDescent="0.25">
      <c r="A419" s="18" t="s">
        <v>781</v>
      </c>
      <c r="B419" s="19" t="s">
        <v>1528</v>
      </c>
      <c r="C419" s="28">
        <v>237.93</v>
      </c>
      <c r="D419" s="19" t="s">
        <v>13</v>
      </c>
      <c r="E419" s="19" t="s">
        <v>14</v>
      </c>
      <c r="F419" s="19" t="s">
        <v>33</v>
      </c>
      <c r="G419" s="19" t="s">
        <v>34</v>
      </c>
      <c r="H419" s="19" t="s">
        <v>115</v>
      </c>
      <c r="I419" s="19">
        <v>231</v>
      </c>
      <c r="J419" s="19" t="s">
        <v>13</v>
      </c>
      <c r="K419" s="19" t="s">
        <v>18</v>
      </c>
      <c r="L419" s="19" t="s">
        <v>781</v>
      </c>
      <c r="M419" s="34">
        <f t="shared" si="41"/>
        <v>288.7661238</v>
      </c>
      <c r="N419" s="19">
        <v>0</v>
      </c>
      <c r="O419" s="34">
        <v>0</v>
      </c>
      <c r="P419" s="34">
        <f t="shared" si="42"/>
        <v>-288.7661238</v>
      </c>
      <c r="Q419" s="21">
        <f t="shared" si="44"/>
        <v>288.7661238</v>
      </c>
    </row>
    <row r="420" spans="1:17" x14ac:dyDescent="0.25">
      <c r="A420" s="18" t="s">
        <v>783</v>
      </c>
      <c r="B420" s="19" t="s">
        <v>1529</v>
      </c>
      <c r="C420" s="28">
        <f>I420*3%+I420</f>
        <v>22.804200000000002</v>
      </c>
      <c r="D420" s="19" t="s">
        <v>124</v>
      </c>
      <c r="E420" s="19" t="s">
        <v>14</v>
      </c>
      <c r="F420" s="19" t="s">
        <v>44</v>
      </c>
      <c r="G420" s="19" t="s">
        <v>45</v>
      </c>
      <c r="H420" s="19" t="s">
        <v>347</v>
      </c>
      <c r="I420" s="19">
        <v>22.14</v>
      </c>
      <c r="J420" s="19" t="s">
        <v>124</v>
      </c>
      <c r="K420" s="19" t="s">
        <v>18</v>
      </c>
      <c r="L420" s="19" t="s">
        <v>783</v>
      </c>
      <c r="M420" s="34">
        <f t="shared" si="41"/>
        <v>27.676545372</v>
      </c>
      <c r="N420" s="19">
        <v>0</v>
      </c>
      <c r="O420" s="34">
        <v>0</v>
      </c>
      <c r="P420" s="34">
        <f t="shared" si="42"/>
        <v>-27.676545372</v>
      </c>
      <c r="Q420" s="21">
        <f t="shared" si="44"/>
        <v>27.676545372</v>
      </c>
    </row>
    <row r="421" spans="1:17" x14ac:dyDescent="0.25">
      <c r="A421" s="18" t="s">
        <v>785</v>
      </c>
      <c r="B421" s="19" t="s">
        <v>1530</v>
      </c>
      <c r="C421" s="28">
        <v>566.33000000000004</v>
      </c>
      <c r="D421" s="19" t="s">
        <v>504</v>
      </c>
      <c r="E421" s="19" t="s">
        <v>14</v>
      </c>
      <c r="F421" s="19" t="s">
        <v>119</v>
      </c>
      <c r="G421" s="19" t="s">
        <v>120</v>
      </c>
      <c r="H421" s="19" t="s">
        <v>121</v>
      </c>
      <c r="I421" s="19">
        <v>180.16</v>
      </c>
      <c r="J421" s="19" t="s">
        <v>504</v>
      </c>
      <c r="K421" s="19" t="s">
        <v>18</v>
      </c>
      <c r="L421" s="19" t="s">
        <v>785</v>
      </c>
      <c r="M421" s="34">
        <f t="shared" si="41"/>
        <v>687.3320678</v>
      </c>
      <c r="N421" s="19">
        <v>0</v>
      </c>
      <c r="O421" s="34">
        <v>0</v>
      </c>
      <c r="P421" s="34">
        <f t="shared" si="42"/>
        <v>-687.3320678</v>
      </c>
      <c r="Q421" s="21">
        <f t="shared" si="44"/>
        <v>687.3320678</v>
      </c>
    </row>
    <row r="422" spans="1:17" x14ac:dyDescent="0.25">
      <c r="A422" s="18" t="s">
        <v>787</v>
      </c>
      <c r="B422" s="19" t="s">
        <v>1531</v>
      </c>
      <c r="C422" s="28">
        <v>69.98</v>
      </c>
      <c r="D422" s="19" t="s">
        <v>118</v>
      </c>
      <c r="E422" s="19" t="s">
        <v>14</v>
      </c>
      <c r="F422" s="19" t="s">
        <v>119</v>
      </c>
      <c r="G422" s="19" t="s">
        <v>120</v>
      </c>
      <c r="H422" s="19" t="s">
        <v>121</v>
      </c>
      <c r="I422" s="19">
        <v>67.03</v>
      </c>
      <c r="J422" s="19" t="s">
        <v>118</v>
      </c>
      <c r="K422" s="19" t="s">
        <v>18</v>
      </c>
      <c r="L422" s="19" t="s">
        <v>787</v>
      </c>
      <c r="M422" s="34">
        <f t="shared" si="41"/>
        <v>84.931926799999999</v>
      </c>
      <c r="N422" s="19">
        <v>0</v>
      </c>
      <c r="O422" s="34">
        <v>0</v>
      </c>
      <c r="P422" s="34">
        <f t="shared" si="42"/>
        <v>-84.931926799999999</v>
      </c>
      <c r="Q422" s="21">
        <f t="shared" si="44"/>
        <v>84.931926799999999</v>
      </c>
    </row>
    <row r="423" spans="1:17" x14ac:dyDescent="0.25">
      <c r="A423" s="18" t="s">
        <v>789</v>
      </c>
      <c r="B423" s="19" t="s">
        <v>1532</v>
      </c>
      <c r="C423" s="28">
        <v>19.829999999999998</v>
      </c>
      <c r="D423" s="19" t="s">
        <v>118</v>
      </c>
      <c r="E423" s="19" t="s">
        <v>14</v>
      </c>
      <c r="F423" s="19" t="s">
        <v>119</v>
      </c>
      <c r="G423" s="19" t="s">
        <v>120</v>
      </c>
      <c r="H423" s="19" t="s">
        <v>121</v>
      </c>
      <c r="I423" s="19">
        <v>64.25</v>
      </c>
      <c r="J423" s="19" t="s">
        <v>118</v>
      </c>
      <c r="K423" s="19" t="s">
        <v>18</v>
      </c>
      <c r="L423" s="19" t="s">
        <v>789</v>
      </c>
      <c r="M423" s="34">
        <f t="shared" si="41"/>
        <v>24.066877799999997</v>
      </c>
      <c r="N423" s="19" t="s">
        <v>789</v>
      </c>
      <c r="O423" s="34">
        <v>23.854800000000001</v>
      </c>
      <c r="P423" s="34">
        <f t="shared" si="42"/>
        <v>-0.21207779999999588</v>
      </c>
      <c r="Q423" s="21">
        <f t="shared" si="44"/>
        <v>24.066877799999997</v>
      </c>
    </row>
    <row r="424" spans="1:17" x14ac:dyDescent="0.25">
      <c r="A424" s="18" t="s">
        <v>791</v>
      </c>
      <c r="B424" s="19" t="s">
        <v>1533</v>
      </c>
      <c r="C424" s="28">
        <f t="shared" ref="C424:C425" si="45">I424*3%+I424</f>
        <v>27.583400000000001</v>
      </c>
      <c r="D424" s="19" t="s">
        <v>32</v>
      </c>
      <c r="E424" s="19" t="s">
        <v>14</v>
      </c>
      <c r="F424" s="19" t="s">
        <v>33</v>
      </c>
      <c r="G424" s="19" t="s">
        <v>34</v>
      </c>
      <c r="H424" s="19" t="s">
        <v>265</v>
      </c>
      <c r="I424" s="19">
        <v>26.78</v>
      </c>
      <c r="J424" s="19" t="s">
        <v>32</v>
      </c>
      <c r="K424" s="19" t="s">
        <v>18</v>
      </c>
      <c r="L424" s="19" t="s">
        <v>791</v>
      </c>
      <c r="M424" s="34">
        <f t="shared" si="41"/>
        <v>33.476869244</v>
      </c>
      <c r="N424" s="19" t="s">
        <v>791</v>
      </c>
      <c r="O424" s="34">
        <v>33.475000000000001</v>
      </c>
      <c r="P424" s="34">
        <f t="shared" si="42"/>
        <v>-1.8692439999981048E-3</v>
      </c>
      <c r="Q424" s="21">
        <f t="shared" si="44"/>
        <v>33.476869244</v>
      </c>
    </row>
    <row r="425" spans="1:17" x14ac:dyDescent="0.25">
      <c r="A425" s="18" t="s">
        <v>793</v>
      </c>
      <c r="B425" s="19" t="s">
        <v>1534</v>
      </c>
      <c r="C425" s="28">
        <f t="shared" si="45"/>
        <v>10.763499999999999</v>
      </c>
      <c r="D425" s="19" t="s">
        <v>32</v>
      </c>
      <c r="E425" s="19" t="s">
        <v>14</v>
      </c>
      <c r="F425" s="19" t="s">
        <v>33</v>
      </c>
      <c r="G425" s="19" t="s">
        <v>34</v>
      </c>
      <c r="H425" s="19" t="s">
        <v>265</v>
      </c>
      <c r="I425" s="19">
        <v>10.45</v>
      </c>
      <c r="J425" s="19" t="s">
        <v>32</v>
      </c>
      <c r="K425" s="19" t="s">
        <v>18</v>
      </c>
      <c r="L425" s="19" t="s">
        <v>793</v>
      </c>
      <c r="M425" s="34">
        <f t="shared" si="41"/>
        <v>13.063229409999998</v>
      </c>
      <c r="N425" s="19" t="s">
        <v>793</v>
      </c>
      <c r="O425" s="34">
        <v>13.0604</v>
      </c>
      <c r="P425" s="34">
        <f t="shared" si="42"/>
        <v>-2.8294099999985889E-3</v>
      </c>
      <c r="Q425" s="21">
        <f t="shared" si="44"/>
        <v>13.063229409999998</v>
      </c>
    </row>
    <row r="426" spans="1:17" x14ac:dyDescent="0.25">
      <c r="A426" s="18">
        <v>2447420</v>
      </c>
      <c r="B426" s="19" t="s">
        <v>1535</v>
      </c>
      <c r="C426" s="28">
        <v>378.53</v>
      </c>
      <c r="D426" s="19" t="s">
        <v>118</v>
      </c>
      <c r="E426" s="19" t="s">
        <v>14</v>
      </c>
      <c r="F426" s="19" t="s">
        <v>33</v>
      </c>
      <c r="G426" s="19" t="s">
        <v>34</v>
      </c>
      <c r="H426" s="19" t="s">
        <v>330</v>
      </c>
      <c r="I426" s="19">
        <v>18.375</v>
      </c>
      <c r="J426" s="19" t="s">
        <v>331</v>
      </c>
      <c r="K426" s="19" t="s">
        <v>18</v>
      </c>
      <c r="L426" s="19">
        <v>0</v>
      </c>
      <c r="M426" s="34">
        <f t="shared" si="41"/>
        <v>459.40671979999996</v>
      </c>
      <c r="N426" s="19">
        <v>0</v>
      </c>
      <c r="O426" s="34">
        <v>0</v>
      </c>
      <c r="P426" s="34">
        <f t="shared" si="42"/>
        <v>-459.40671979999996</v>
      </c>
      <c r="Q426" s="21">
        <f t="shared" si="44"/>
        <v>459.40671979999996</v>
      </c>
    </row>
    <row r="427" spans="1:17" x14ac:dyDescent="0.25">
      <c r="A427" s="18">
        <v>2444932</v>
      </c>
      <c r="B427" s="19" t="s">
        <v>1536</v>
      </c>
      <c r="C427" s="28">
        <v>290.04000000000002</v>
      </c>
      <c r="D427" s="19" t="s">
        <v>334</v>
      </c>
      <c r="E427" s="19" t="s">
        <v>14</v>
      </c>
      <c r="F427" s="19" t="s">
        <v>33</v>
      </c>
      <c r="G427" s="19" t="s">
        <v>34</v>
      </c>
      <c r="H427" s="19" t="s">
        <v>330</v>
      </c>
      <c r="I427" s="19">
        <v>23.4634</v>
      </c>
      <c r="J427" s="19" t="s">
        <v>334</v>
      </c>
      <c r="K427" s="19" t="s">
        <v>18</v>
      </c>
      <c r="L427" s="19">
        <v>0</v>
      </c>
      <c r="M427" s="34">
        <f t="shared" si="41"/>
        <v>352.00994639999999</v>
      </c>
      <c r="N427" s="19">
        <v>0</v>
      </c>
      <c r="O427" s="34">
        <v>0</v>
      </c>
      <c r="P427" s="34">
        <f t="shared" si="42"/>
        <v>-352.00994639999999</v>
      </c>
      <c r="Q427" s="21">
        <f t="shared" si="44"/>
        <v>352.00994639999999</v>
      </c>
    </row>
    <row r="428" spans="1:17" x14ac:dyDescent="0.25">
      <c r="A428" s="18">
        <v>2446732</v>
      </c>
      <c r="B428" s="19" t="s">
        <v>1537</v>
      </c>
      <c r="C428" s="28">
        <v>20</v>
      </c>
      <c r="D428" s="19" t="s">
        <v>334</v>
      </c>
      <c r="E428" s="19" t="s">
        <v>14</v>
      </c>
      <c r="F428" s="19" t="s">
        <v>33</v>
      </c>
      <c r="G428" s="19" t="s">
        <v>34</v>
      </c>
      <c r="H428" s="19" t="s">
        <v>330</v>
      </c>
      <c r="I428" s="19">
        <v>21</v>
      </c>
      <c r="J428" s="19" t="s">
        <v>334</v>
      </c>
      <c r="K428" s="19" t="s">
        <v>18</v>
      </c>
      <c r="L428" s="19">
        <v>0</v>
      </c>
      <c r="M428" s="34">
        <f t="shared" si="41"/>
        <v>24.273199999999999</v>
      </c>
      <c r="N428" s="19">
        <v>0</v>
      </c>
      <c r="O428" s="34">
        <v>0</v>
      </c>
      <c r="P428" s="34">
        <f t="shared" si="42"/>
        <v>-24.273199999999999</v>
      </c>
      <c r="Q428" s="21">
        <f t="shared" si="44"/>
        <v>24.273199999999999</v>
      </c>
    </row>
    <row r="429" spans="1:17" x14ac:dyDescent="0.25">
      <c r="A429" s="18">
        <v>2446620</v>
      </c>
      <c r="B429" s="19" t="s">
        <v>1538</v>
      </c>
      <c r="C429" s="28">
        <v>210</v>
      </c>
      <c r="D429" s="19" t="s">
        <v>118</v>
      </c>
      <c r="E429" s="19" t="s">
        <v>14</v>
      </c>
      <c r="F429" s="19" t="s">
        <v>33</v>
      </c>
      <c r="G429" s="19" t="s">
        <v>34</v>
      </c>
      <c r="H429" s="19" t="s">
        <v>330</v>
      </c>
      <c r="I429" s="19">
        <v>13.125</v>
      </c>
      <c r="J429" s="19" t="s">
        <v>331</v>
      </c>
      <c r="K429" s="19" t="s">
        <v>18</v>
      </c>
      <c r="L429" s="19">
        <v>0</v>
      </c>
      <c r="M429" s="34">
        <f t="shared" si="41"/>
        <v>254.86859999999999</v>
      </c>
      <c r="N429" s="19">
        <v>0</v>
      </c>
      <c r="O429" s="34">
        <v>0</v>
      </c>
      <c r="P429" s="34">
        <f t="shared" si="42"/>
        <v>-254.86859999999999</v>
      </c>
      <c r="Q429" s="21">
        <f t="shared" si="44"/>
        <v>254.86859999999999</v>
      </c>
    </row>
    <row r="430" spans="1:17" x14ac:dyDescent="0.25">
      <c r="A430" s="18">
        <v>2446605</v>
      </c>
      <c r="B430" s="19" t="s">
        <v>1539</v>
      </c>
      <c r="C430" s="28">
        <v>60</v>
      </c>
      <c r="D430" s="19" t="s">
        <v>118</v>
      </c>
      <c r="E430" s="19" t="s">
        <v>14</v>
      </c>
      <c r="F430" s="19" t="s">
        <v>33</v>
      </c>
      <c r="G430" s="19" t="s">
        <v>34</v>
      </c>
      <c r="H430" s="19" t="s">
        <v>330</v>
      </c>
      <c r="I430" s="19">
        <v>71.400000000000006</v>
      </c>
      <c r="J430" s="19" t="s">
        <v>118</v>
      </c>
      <c r="K430" s="19" t="s">
        <v>18</v>
      </c>
      <c r="L430" s="19">
        <v>0</v>
      </c>
      <c r="M430" s="34">
        <f t="shared" si="41"/>
        <v>72.819599999999994</v>
      </c>
      <c r="N430" s="19">
        <v>0</v>
      </c>
      <c r="O430" s="34">
        <v>0</v>
      </c>
      <c r="P430" s="34">
        <f t="shared" si="42"/>
        <v>-72.819599999999994</v>
      </c>
      <c r="Q430" s="21">
        <f t="shared" si="44"/>
        <v>72.819599999999994</v>
      </c>
    </row>
    <row r="431" spans="1:17" x14ac:dyDescent="0.25">
      <c r="A431" s="18">
        <v>244620</v>
      </c>
      <c r="B431" s="19" t="s">
        <v>1540</v>
      </c>
      <c r="C431" s="28">
        <v>270.38</v>
      </c>
      <c r="D431" s="19" t="s">
        <v>118</v>
      </c>
      <c r="E431" s="19" t="s">
        <v>14</v>
      </c>
      <c r="F431" s="19" t="s">
        <v>33</v>
      </c>
      <c r="G431" s="19" t="s">
        <v>34</v>
      </c>
      <c r="H431" s="19" t="s">
        <v>330</v>
      </c>
      <c r="I431" s="19">
        <v>13.125</v>
      </c>
      <c r="J431" s="19" t="s">
        <v>331</v>
      </c>
      <c r="K431" s="19" t="s">
        <v>18</v>
      </c>
      <c r="L431" s="19">
        <v>0</v>
      </c>
      <c r="M431" s="34">
        <f t="shared" si="41"/>
        <v>328.14939079999999</v>
      </c>
      <c r="N431" s="19">
        <v>0</v>
      </c>
      <c r="O431" s="34">
        <v>0</v>
      </c>
      <c r="P431" s="34">
        <f t="shared" si="42"/>
        <v>-328.14939079999999</v>
      </c>
      <c r="Q431" s="21">
        <f t="shared" si="44"/>
        <v>328.14939079999999</v>
      </c>
    </row>
    <row r="432" spans="1:17" x14ac:dyDescent="0.25">
      <c r="A432" s="18" t="s">
        <v>801</v>
      </c>
      <c r="B432" s="19" t="s">
        <v>1541</v>
      </c>
      <c r="C432" s="28">
        <f>I432*3%+I432</f>
        <v>1.0815000000000001</v>
      </c>
      <c r="D432" s="19" t="s">
        <v>13</v>
      </c>
      <c r="E432" s="19" t="s">
        <v>14</v>
      </c>
      <c r="F432" s="19" t="s">
        <v>15</v>
      </c>
      <c r="G432" s="19" t="s">
        <v>16</v>
      </c>
      <c r="H432" s="19" t="s">
        <v>17</v>
      </c>
      <c r="I432" s="19">
        <v>1.05</v>
      </c>
      <c r="J432" s="19" t="s">
        <v>13</v>
      </c>
      <c r="K432" s="19" t="s">
        <v>18</v>
      </c>
      <c r="L432" s="19" t="s">
        <v>801</v>
      </c>
      <c r="M432" s="34">
        <f t="shared" si="41"/>
        <v>1.31257329</v>
      </c>
      <c r="N432" s="19">
        <v>0</v>
      </c>
      <c r="O432" s="34">
        <v>0</v>
      </c>
      <c r="P432" s="34">
        <f t="shared" si="42"/>
        <v>-1.31257329</v>
      </c>
      <c r="Q432" s="21">
        <f t="shared" si="44"/>
        <v>1.31257329</v>
      </c>
    </row>
    <row r="433" spans="1:17" x14ac:dyDescent="0.25">
      <c r="A433" s="18" t="s">
        <v>803</v>
      </c>
      <c r="B433" s="19" t="s">
        <v>1542</v>
      </c>
      <c r="C433" s="28">
        <f t="shared" ref="C433:C435" si="46">I433*3%+I433</f>
        <v>66.218700000000013</v>
      </c>
      <c r="D433" s="19" t="s">
        <v>13</v>
      </c>
      <c r="E433" s="19" t="s">
        <v>14</v>
      </c>
      <c r="F433" s="19" t="s">
        <v>15</v>
      </c>
      <c r="G433" s="19" t="s">
        <v>16</v>
      </c>
      <c r="H433" s="19" t="s">
        <v>17</v>
      </c>
      <c r="I433" s="19">
        <v>64.290000000000006</v>
      </c>
      <c r="J433" s="19" t="s">
        <v>13</v>
      </c>
      <c r="K433" s="19" t="s">
        <v>18</v>
      </c>
      <c r="L433" s="19" t="s">
        <v>803</v>
      </c>
      <c r="M433" s="34">
        <f t="shared" si="41"/>
        <v>80.36698744200001</v>
      </c>
      <c r="N433" s="19">
        <v>0</v>
      </c>
      <c r="O433" s="34">
        <v>0</v>
      </c>
      <c r="P433" s="34">
        <f t="shared" si="42"/>
        <v>-80.36698744200001</v>
      </c>
      <c r="Q433" s="21">
        <f t="shared" si="44"/>
        <v>80.36698744200001</v>
      </c>
    </row>
    <row r="434" spans="1:17" x14ac:dyDescent="0.25">
      <c r="A434" s="18" t="s">
        <v>805</v>
      </c>
      <c r="B434" s="19" t="s">
        <v>1543</v>
      </c>
      <c r="C434" s="28">
        <f t="shared" si="46"/>
        <v>77.878299999999996</v>
      </c>
      <c r="D434" s="19" t="s">
        <v>13</v>
      </c>
      <c r="E434" s="19" t="s">
        <v>14</v>
      </c>
      <c r="F434" s="19" t="s">
        <v>15</v>
      </c>
      <c r="G434" s="19" t="s">
        <v>16</v>
      </c>
      <c r="H434" s="19" t="s">
        <v>17</v>
      </c>
      <c r="I434" s="19">
        <v>75.61</v>
      </c>
      <c r="J434" s="19" t="s">
        <v>13</v>
      </c>
      <c r="K434" s="19" t="s">
        <v>18</v>
      </c>
      <c r="L434" s="19" t="s">
        <v>805</v>
      </c>
      <c r="M434" s="34">
        <f t="shared" si="41"/>
        <v>94.517777577999993</v>
      </c>
      <c r="N434" s="19">
        <v>0</v>
      </c>
      <c r="O434" s="34">
        <v>0</v>
      </c>
      <c r="P434" s="34">
        <f t="shared" si="42"/>
        <v>-94.517777577999993</v>
      </c>
      <c r="Q434" s="21">
        <f t="shared" si="44"/>
        <v>94.517777577999993</v>
      </c>
    </row>
    <row r="435" spans="1:17" x14ac:dyDescent="0.25">
      <c r="A435" s="18" t="s">
        <v>807</v>
      </c>
      <c r="B435" s="19" t="s">
        <v>1544</v>
      </c>
      <c r="C435" s="28">
        <f t="shared" si="46"/>
        <v>1.0815000000000001</v>
      </c>
      <c r="D435" s="19" t="s">
        <v>13</v>
      </c>
      <c r="E435" s="19" t="s">
        <v>14</v>
      </c>
      <c r="F435" s="19" t="s">
        <v>15</v>
      </c>
      <c r="G435" s="19" t="s">
        <v>16</v>
      </c>
      <c r="H435" s="19" t="s">
        <v>17</v>
      </c>
      <c r="I435" s="19">
        <v>1.05</v>
      </c>
      <c r="J435" s="19" t="s">
        <v>13</v>
      </c>
      <c r="K435" s="19" t="s">
        <v>18</v>
      </c>
      <c r="L435" s="19" t="s">
        <v>807</v>
      </c>
      <c r="M435" s="34">
        <f t="shared" si="41"/>
        <v>1.31257329</v>
      </c>
      <c r="N435" s="19">
        <v>0</v>
      </c>
      <c r="O435" s="34">
        <v>0</v>
      </c>
      <c r="P435" s="34">
        <f t="shared" si="42"/>
        <v>-1.31257329</v>
      </c>
      <c r="Q435" s="21">
        <f t="shared" si="44"/>
        <v>1.31257329</v>
      </c>
    </row>
    <row r="436" spans="1:17" x14ac:dyDescent="0.25">
      <c r="A436" s="18" t="s">
        <v>809</v>
      </c>
      <c r="B436" s="19" t="s">
        <v>1545</v>
      </c>
      <c r="C436" s="28">
        <v>59.48</v>
      </c>
      <c r="D436" s="19" t="s">
        <v>13</v>
      </c>
      <c r="E436" s="19" t="s">
        <v>14</v>
      </c>
      <c r="F436" s="19" t="s">
        <v>33</v>
      </c>
      <c r="G436" s="19" t="s">
        <v>34</v>
      </c>
      <c r="H436" s="19" t="s">
        <v>115</v>
      </c>
      <c r="I436" s="19">
        <v>57.75</v>
      </c>
      <c r="J436" s="19" t="s">
        <v>13</v>
      </c>
      <c r="K436" s="19" t="s">
        <v>18</v>
      </c>
      <c r="L436" s="19" t="s">
        <v>809</v>
      </c>
      <c r="M436" s="34">
        <f t="shared" si="41"/>
        <v>72.188496799999996</v>
      </c>
      <c r="N436" s="19">
        <v>0</v>
      </c>
      <c r="O436" s="34">
        <v>0</v>
      </c>
      <c r="P436" s="34">
        <f t="shared" si="42"/>
        <v>-72.188496799999996</v>
      </c>
      <c r="Q436" s="21">
        <f t="shared" si="44"/>
        <v>72.188496799999996</v>
      </c>
    </row>
    <row r="437" spans="1:17" x14ac:dyDescent="0.25">
      <c r="A437" s="18" t="s">
        <v>811</v>
      </c>
      <c r="B437" s="19" t="s">
        <v>1546</v>
      </c>
      <c r="C437" s="28">
        <v>55</v>
      </c>
      <c r="D437" s="19" t="s">
        <v>13</v>
      </c>
      <c r="E437" s="19" t="s">
        <v>14</v>
      </c>
      <c r="F437" s="19" t="s">
        <v>33</v>
      </c>
      <c r="G437" s="19" t="s">
        <v>34</v>
      </c>
      <c r="H437" s="19" t="s">
        <v>115</v>
      </c>
      <c r="I437" s="19">
        <v>53.4</v>
      </c>
      <c r="J437" s="19" t="s">
        <v>13</v>
      </c>
      <c r="K437" s="19" t="s">
        <v>18</v>
      </c>
      <c r="L437" s="19" t="s">
        <v>811</v>
      </c>
      <c r="M437" s="34">
        <f t="shared" si="41"/>
        <v>66.751300000000001</v>
      </c>
      <c r="N437" s="19">
        <v>0</v>
      </c>
      <c r="O437" s="34">
        <v>0</v>
      </c>
      <c r="P437" s="34">
        <f t="shared" si="42"/>
        <v>-66.751300000000001</v>
      </c>
      <c r="Q437" s="21">
        <f t="shared" si="44"/>
        <v>66.751300000000001</v>
      </c>
    </row>
    <row r="438" spans="1:17" x14ac:dyDescent="0.25">
      <c r="A438" s="18" t="s">
        <v>813</v>
      </c>
      <c r="B438" s="19" t="s">
        <v>1547</v>
      </c>
      <c r="C438" s="28">
        <v>59.48</v>
      </c>
      <c r="D438" s="19" t="s">
        <v>13</v>
      </c>
      <c r="E438" s="19" t="s">
        <v>14</v>
      </c>
      <c r="F438" s="19" t="s">
        <v>33</v>
      </c>
      <c r="G438" s="19" t="s">
        <v>34</v>
      </c>
      <c r="H438" s="19" t="s">
        <v>115</v>
      </c>
      <c r="I438" s="19">
        <v>57.75</v>
      </c>
      <c r="J438" s="19" t="s">
        <v>13</v>
      </c>
      <c r="K438" s="19" t="s">
        <v>18</v>
      </c>
      <c r="L438" s="19" t="s">
        <v>813</v>
      </c>
      <c r="M438" s="34">
        <f t="shared" si="41"/>
        <v>72.188496799999996</v>
      </c>
      <c r="N438" s="19">
        <v>0</v>
      </c>
      <c r="O438" s="34">
        <v>0</v>
      </c>
      <c r="P438" s="34">
        <f t="shared" si="42"/>
        <v>-72.188496799999996</v>
      </c>
      <c r="Q438" s="21">
        <f t="shared" si="44"/>
        <v>72.188496799999996</v>
      </c>
    </row>
    <row r="439" spans="1:17" x14ac:dyDescent="0.25">
      <c r="A439" s="18" t="s">
        <v>815</v>
      </c>
      <c r="B439" s="19" t="s">
        <v>1548</v>
      </c>
      <c r="C439" s="28">
        <f>I439*3%+I439</f>
        <v>1.5449999999999999</v>
      </c>
      <c r="D439" s="19" t="s">
        <v>13</v>
      </c>
      <c r="E439" s="19" t="s">
        <v>23</v>
      </c>
      <c r="F439" s="19" t="s">
        <v>49</v>
      </c>
      <c r="G439" s="19" t="s">
        <v>50</v>
      </c>
      <c r="H439" s="19" t="s">
        <v>50</v>
      </c>
      <c r="I439" s="19">
        <v>1.5</v>
      </c>
      <c r="J439" s="19" t="s">
        <v>13</v>
      </c>
      <c r="K439" s="19" t="s">
        <v>18</v>
      </c>
      <c r="L439" s="19" t="s">
        <v>815</v>
      </c>
      <c r="M439" s="34">
        <f t="shared" si="41"/>
        <v>1.8751046999999998</v>
      </c>
      <c r="N439" s="19" t="s">
        <v>815</v>
      </c>
      <c r="O439" s="34">
        <v>1.9879</v>
      </c>
      <c r="P439" s="34">
        <f t="shared" si="42"/>
        <v>0.11279530000000015</v>
      </c>
      <c r="Q439" s="21">
        <f t="shared" si="44"/>
        <v>1.8751046999999998</v>
      </c>
    </row>
    <row r="440" spans="1:17" x14ac:dyDescent="0.25">
      <c r="A440" s="18" t="s">
        <v>817</v>
      </c>
      <c r="B440" s="19" t="s">
        <v>1549</v>
      </c>
      <c r="C440" s="28">
        <f t="shared" ref="C440:C446" si="47">I440*3%+I440</f>
        <v>152.131</v>
      </c>
      <c r="D440" s="19" t="s">
        <v>118</v>
      </c>
      <c r="E440" s="19" t="s">
        <v>14</v>
      </c>
      <c r="F440" s="19" t="s">
        <v>119</v>
      </c>
      <c r="G440" s="19" t="s">
        <v>120</v>
      </c>
      <c r="H440" s="19" t="s">
        <v>819</v>
      </c>
      <c r="I440" s="19">
        <v>147.69999999999999</v>
      </c>
      <c r="J440" s="19" t="s">
        <v>118</v>
      </c>
      <c r="K440" s="19" t="s">
        <v>18</v>
      </c>
      <c r="L440" s="19" t="s">
        <v>817</v>
      </c>
      <c r="M440" s="34">
        <f t="shared" si="41"/>
        <v>184.63530946</v>
      </c>
      <c r="N440" s="19" t="s">
        <v>817</v>
      </c>
      <c r="O440" s="34">
        <v>184.6378</v>
      </c>
      <c r="P440" s="34">
        <f t="shared" si="42"/>
        <v>2.4905399999965994E-3</v>
      </c>
      <c r="Q440" s="21">
        <f t="shared" si="44"/>
        <v>184.63530946</v>
      </c>
    </row>
    <row r="441" spans="1:17" x14ac:dyDescent="0.25">
      <c r="A441" s="18" t="s">
        <v>820</v>
      </c>
      <c r="B441" s="19" t="s">
        <v>1550</v>
      </c>
      <c r="C441" s="28">
        <f t="shared" si="47"/>
        <v>42.106400000000001</v>
      </c>
      <c r="D441" s="19" t="s">
        <v>118</v>
      </c>
      <c r="E441" s="19" t="s">
        <v>14</v>
      </c>
      <c r="F441" s="19" t="s">
        <v>119</v>
      </c>
      <c r="G441" s="19" t="s">
        <v>120</v>
      </c>
      <c r="H441" s="19" t="s">
        <v>819</v>
      </c>
      <c r="I441" s="19">
        <v>40.880000000000003</v>
      </c>
      <c r="J441" s="19" t="s">
        <v>118</v>
      </c>
      <c r="K441" s="19" t="s">
        <v>18</v>
      </c>
      <c r="L441" s="19" t="s">
        <v>820</v>
      </c>
      <c r="M441" s="34">
        <f t="shared" si="41"/>
        <v>51.102853424000003</v>
      </c>
      <c r="N441" s="19" t="s">
        <v>820</v>
      </c>
      <c r="O441" s="34">
        <v>51.098300000000002</v>
      </c>
      <c r="P441" s="34">
        <f t="shared" si="42"/>
        <v>-4.5534240000009163E-3</v>
      </c>
      <c r="Q441" s="21">
        <f t="shared" si="44"/>
        <v>51.102853424000003</v>
      </c>
    </row>
    <row r="442" spans="1:17" x14ac:dyDescent="0.25">
      <c r="A442" s="18" t="s">
        <v>822</v>
      </c>
      <c r="B442" s="19" t="s">
        <v>1551</v>
      </c>
      <c r="C442" s="28">
        <f t="shared" si="47"/>
        <v>0</v>
      </c>
      <c r="D442" s="19" t="s">
        <v>13</v>
      </c>
      <c r="E442" s="19" t="s">
        <v>23</v>
      </c>
      <c r="F442" s="19" t="s">
        <v>24</v>
      </c>
      <c r="G442" s="19" t="s">
        <v>25</v>
      </c>
      <c r="H442" s="19" t="s">
        <v>25</v>
      </c>
      <c r="I442" s="19">
        <v>0</v>
      </c>
      <c r="J442" s="19" t="s">
        <v>13</v>
      </c>
      <c r="K442" s="19" t="s">
        <v>18</v>
      </c>
      <c r="L442" s="19" t="s">
        <v>822</v>
      </c>
      <c r="M442" s="34">
        <f t="shared" si="41"/>
        <v>0</v>
      </c>
      <c r="N442" s="19">
        <v>0</v>
      </c>
      <c r="O442" s="34">
        <v>0</v>
      </c>
      <c r="P442" s="34">
        <f t="shared" si="42"/>
        <v>0</v>
      </c>
      <c r="Q442" s="21">
        <f t="shared" si="44"/>
        <v>0</v>
      </c>
    </row>
    <row r="443" spans="1:17" x14ac:dyDescent="0.25">
      <c r="A443" s="18" t="s">
        <v>824</v>
      </c>
      <c r="B443" s="19" t="s">
        <v>1552</v>
      </c>
      <c r="C443" s="28">
        <f t="shared" si="47"/>
        <v>7.7249999999999996</v>
      </c>
      <c r="D443" s="19" t="s">
        <v>13</v>
      </c>
      <c r="E443" s="19" t="s">
        <v>23</v>
      </c>
      <c r="F443" s="19" t="s">
        <v>24</v>
      </c>
      <c r="G443" s="19" t="s">
        <v>25</v>
      </c>
      <c r="H443" s="19" t="s">
        <v>25</v>
      </c>
      <c r="I443" s="19">
        <v>7.5</v>
      </c>
      <c r="J443" s="19" t="s">
        <v>13</v>
      </c>
      <c r="K443" s="19" t="s">
        <v>18</v>
      </c>
      <c r="L443" s="19" t="s">
        <v>824</v>
      </c>
      <c r="M443" s="34">
        <f t="shared" si="41"/>
        <v>9.3755234999999999</v>
      </c>
      <c r="N443" s="19">
        <v>0</v>
      </c>
      <c r="O443" s="34">
        <v>0</v>
      </c>
      <c r="P443" s="34">
        <f t="shared" si="42"/>
        <v>-9.3755234999999999</v>
      </c>
      <c r="Q443" s="21">
        <f t="shared" si="44"/>
        <v>9.3755234999999999</v>
      </c>
    </row>
    <row r="444" spans="1:17" x14ac:dyDescent="0.25">
      <c r="A444" s="18" t="s">
        <v>826</v>
      </c>
      <c r="B444" s="19" t="s">
        <v>1553</v>
      </c>
      <c r="C444" s="28">
        <f t="shared" si="47"/>
        <v>8.4975000000000005</v>
      </c>
      <c r="D444" s="19" t="s">
        <v>13</v>
      </c>
      <c r="E444" s="19" t="s">
        <v>23</v>
      </c>
      <c r="F444" s="19" t="s">
        <v>24</v>
      </c>
      <c r="G444" s="19" t="s">
        <v>25</v>
      </c>
      <c r="H444" s="19" t="s">
        <v>25</v>
      </c>
      <c r="I444" s="19">
        <v>8.25</v>
      </c>
      <c r="J444" s="19" t="s">
        <v>13</v>
      </c>
      <c r="K444" s="19" t="s">
        <v>18</v>
      </c>
      <c r="L444" s="19" t="s">
        <v>826</v>
      </c>
      <c r="M444" s="34">
        <f t="shared" si="41"/>
        <v>10.313075850000001</v>
      </c>
      <c r="N444" s="19">
        <v>0</v>
      </c>
      <c r="O444" s="34">
        <v>0</v>
      </c>
      <c r="P444" s="34">
        <f t="shared" si="42"/>
        <v>-10.313075850000001</v>
      </c>
      <c r="Q444" s="21">
        <f t="shared" si="44"/>
        <v>10.313075850000001</v>
      </c>
    </row>
    <row r="445" spans="1:17" x14ac:dyDescent="0.25">
      <c r="A445" s="18" t="s">
        <v>828</v>
      </c>
      <c r="B445" s="19" t="s">
        <v>1554</v>
      </c>
      <c r="C445" s="28">
        <f t="shared" si="47"/>
        <v>9.2905999999999995</v>
      </c>
      <c r="D445" s="19" t="s">
        <v>13</v>
      </c>
      <c r="E445" s="19" t="s">
        <v>23</v>
      </c>
      <c r="F445" s="19" t="s">
        <v>24</v>
      </c>
      <c r="G445" s="19" t="s">
        <v>25</v>
      </c>
      <c r="H445" s="19" t="s">
        <v>25</v>
      </c>
      <c r="I445" s="19">
        <v>9.02</v>
      </c>
      <c r="J445" s="19" t="s">
        <v>13</v>
      </c>
      <c r="K445" s="19" t="s">
        <v>18</v>
      </c>
      <c r="L445" s="19" t="s">
        <v>828</v>
      </c>
      <c r="M445" s="34">
        <f t="shared" si="41"/>
        <v>11.275629596</v>
      </c>
      <c r="N445" s="19">
        <v>0</v>
      </c>
      <c r="O445" s="34">
        <v>0</v>
      </c>
      <c r="P445" s="34">
        <f t="shared" si="42"/>
        <v>-11.275629596</v>
      </c>
      <c r="Q445" s="21">
        <f t="shared" si="44"/>
        <v>11.275629596</v>
      </c>
    </row>
    <row r="446" spans="1:17" x14ac:dyDescent="0.25">
      <c r="A446" s="18" t="s">
        <v>830</v>
      </c>
      <c r="B446" s="19" t="s">
        <v>1555</v>
      </c>
      <c r="C446" s="28">
        <f t="shared" si="47"/>
        <v>0</v>
      </c>
      <c r="D446" s="19" t="s">
        <v>13</v>
      </c>
      <c r="E446" s="19" t="s">
        <v>23</v>
      </c>
      <c r="F446" s="19" t="s">
        <v>24</v>
      </c>
      <c r="G446" s="19" t="s">
        <v>25</v>
      </c>
      <c r="H446" s="19" t="s">
        <v>25</v>
      </c>
      <c r="I446" s="19">
        <v>0</v>
      </c>
      <c r="J446" s="19" t="s">
        <v>13</v>
      </c>
      <c r="K446" s="19" t="s">
        <v>18</v>
      </c>
      <c r="L446" s="19" t="s">
        <v>830</v>
      </c>
      <c r="M446" s="34">
        <f t="shared" si="41"/>
        <v>0</v>
      </c>
      <c r="N446" s="19">
        <v>0</v>
      </c>
      <c r="O446" s="34">
        <v>0</v>
      </c>
      <c r="P446" s="34">
        <f t="shared" si="42"/>
        <v>0</v>
      </c>
      <c r="Q446" s="21">
        <f t="shared" si="44"/>
        <v>0</v>
      </c>
    </row>
    <row r="447" spans="1:17" x14ac:dyDescent="0.25">
      <c r="A447" s="18" t="s">
        <v>832</v>
      </c>
      <c r="B447" s="19" t="s">
        <v>1556</v>
      </c>
      <c r="C447" s="28">
        <v>79.28</v>
      </c>
      <c r="D447" s="19" t="s">
        <v>242</v>
      </c>
      <c r="E447" s="19" t="s">
        <v>14</v>
      </c>
      <c r="F447" s="19" t="s">
        <v>33</v>
      </c>
      <c r="G447" s="19" t="s">
        <v>34</v>
      </c>
      <c r="H447" s="19" t="s">
        <v>489</v>
      </c>
      <c r="I447" s="19">
        <v>76.97</v>
      </c>
      <c r="J447" s="19" t="s">
        <v>242</v>
      </c>
      <c r="K447" s="19" t="s">
        <v>18</v>
      </c>
      <c r="L447" s="19">
        <v>0</v>
      </c>
      <c r="M447" s="20">
        <f t="shared" si="41"/>
        <v>96.218964799999995</v>
      </c>
      <c r="N447" s="19">
        <v>0</v>
      </c>
      <c r="O447" s="20">
        <v>0</v>
      </c>
      <c r="P447" s="20">
        <f t="shared" si="42"/>
        <v>-96.218964799999995</v>
      </c>
      <c r="Q447" s="21">
        <f t="shared" si="44"/>
        <v>96.218964799999995</v>
      </c>
    </row>
    <row r="448" spans="1:17" x14ac:dyDescent="0.25">
      <c r="A448" s="18">
        <v>7362224</v>
      </c>
      <c r="B448" s="19" t="s">
        <v>1557</v>
      </c>
      <c r="C448" s="28">
        <v>143.30000000000001</v>
      </c>
      <c r="D448" s="19" t="s">
        <v>118</v>
      </c>
      <c r="E448" s="19" t="s">
        <v>14</v>
      </c>
      <c r="F448" s="19" t="s">
        <v>33</v>
      </c>
      <c r="G448" s="19" t="s">
        <v>34</v>
      </c>
      <c r="H448" s="19" t="s">
        <v>330</v>
      </c>
      <c r="I448" s="19">
        <v>5.7968999999999999</v>
      </c>
      <c r="J448" s="19" t="s">
        <v>331</v>
      </c>
      <c r="K448" s="19" t="s">
        <v>18</v>
      </c>
      <c r="L448" s="19">
        <v>0</v>
      </c>
      <c r="M448" s="34">
        <f t="shared" ref="M448:M496" si="48">C448*1.21366</f>
        <v>173.91747800000002</v>
      </c>
      <c r="N448" s="19">
        <v>0</v>
      </c>
      <c r="O448" s="34">
        <v>0</v>
      </c>
      <c r="P448" s="34">
        <f t="shared" ref="P448:P496" si="49">O448-M448</f>
        <v>-173.91747800000002</v>
      </c>
      <c r="Q448" s="21">
        <f t="shared" si="44"/>
        <v>173.91747800000002</v>
      </c>
    </row>
    <row r="449" spans="1:17" x14ac:dyDescent="0.25">
      <c r="A449" s="18">
        <v>7362320</v>
      </c>
      <c r="B449" s="19" t="s">
        <v>1558</v>
      </c>
      <c r="C449" s="28">
        <v>292.01</v>
      </c>
      <c r="D449" s="19" t="s">
        <v>118</v>
      </c>
      <c r="E449" s="19" t="s">
        <v>14</v>
      </c>
      <c r="F449" s="19" t="s">
        <v>33</v>
      </c>
      <c r="G449" s="19" t="s">
        <v>34</v>
      </c>
      <c r="H449" s="19" t="s">
        <v>330</v>
      </c>
      <c r="I449" s="19">
        <v>14.175000000000001</v>
      </c>
      <c r="J449" s="19" t="s">
        <v>331</v>
      </c>
      <c r="K449" s="19" t="s">
        <v>18</v>
      </c>
      <c r="L449" s="19">
        <v>0</v>
      </c>
      <c r="M449" s="34">
        <f t="shared" si="48"/>
        <v>354.4008566</v>
      </c>
      <c r="N449" s="19">
        <v>0</v>
      </c>
      <c r="O449" s="34">
        <v>0</v>
      </c>
      <c r="P449" s="34">
        <f t="shared" si="49"/>
        <v>-354.4008566</v>
      </c>
      <c r="Q449" s="21">
        <f t="shared" si="44"/>
        <v>354.4008566</v>
      </c>
    </row>
    <row r="450" spans="1:17" x14ac:dyDescent="0.25">
      <c r="A450" s="18" t="s">
        <v>873</v>
      </c>
      <c r="B450" s="19" t="s">
        <v>1559</v>
      </c>
      <c r="C450" s="28">
        <f t="shared" ref="C450:C452" si="50">I450*3%+I450</f>
        <v>15.635399999999999</v>
      </c>
      <c r="D450" s="19" t="s">
        <v>13</v>
      </c>
      <c r="E450" s="19" t="s">
        <v>23</v>
      </c>
      <c r="F450" s="19" t="s">
        <v>49</v>
      </c>
      <c r="G450" s="19" t="s">
        <v>50</v>
      </c>
      <c r="H450" s="19" t="s">
        <v>50</v>
      </c>
      <c r="I450" s="19">
        <v>15.18</v>
      </c>
      <c r="J450" s="19" t="s">
        <v>13</v>
      </c>
      <c r="K450" s="19" t="s">
        <v>18</v>
      </c>
      <c r="L450" s="19" t="s">
        <v>873</v>
      </c>
      <c r="M450" s="34">
        <f t="shared" si="48"/>
        <v>18.976059563999996</v>
      </c>
      <c r="N450" s="19" t="s">
        <v>873</v>
      </c>
      <c r="O450" s="34">
        <v>2.2042000000000002</v>
      </c>
      <c r="P450" s="34">
        <f t="shared" si="49"/>
        <v>-16.771859563999996</v>
      </c>
      <c r="Q450" s="21">
        <f t="shared" si="44"/>
        <v>18.976059563999996</v>
      </c>
    </row>
    <row r="451" spans="1:17" x14ac:dyDescent="0.25">
      <c r="A451" s="18" t="s">
        <v>875</v>
      </c>
      <c r="B451" s="19" t="s">
        <v>1560</v>
      </c>
      <c r="C451" s="28">
        <f t="shared" si="50"/>
        <v>74.283600000000007</v>
      </c>
      <c r="D451" s="19" t="s">
        <v>13</v>
      </c>
      <c r="E451" s="19" t="s">
        <v>14</v>
      </c>
      <c r="F451" s="19" t="s">
        <v>33</v>
      </c>
      <c r="G451" s="19" t="s">
        <v>34</v>
      </c>
      <c r="H451" s="19" t="s">
        <v>231</v>
      </c>
      <c r="I451" s="19">
        <v>72.12</v>
      </c>
      <c r="J451" s="19" t="s">
        <v>13</v>
      </c>
      <c r="K451" s="19" t="s">
        <v>18</v>
      </c>
      <c r="L451" s="19" t="s">
        <v>875</v>
      </c>
      <c r="M451" s="34">
        <f t="shared" si="48"/>
        <v>90.155033975999999</v>
      </c>
      <c r="N451" s="19">
        <v>0</v>
      </c>
      <c r="O451" s="34">
        <v>0</v>
      </c>
      <c r="P451" s="34">
        <f t="shared" si="49"/>
        <v>-90.155033975999999</v>
      </c>
      <c r="Q451" s="21">
        <f t="shared" si="44"/>
        <v>90.155033975999999</v>
      </c>
    </row>
    <row r="452" spans="1:17" x14ac:dyDescent="0.25">
      <c r="A452" s="18" t="s">
        <v>877</v>
      </c>
      <c r="B452" s="19" t="s">
        <v>1561</v>
      </c>
      <c r="C452" s="28">
        <f t="shared" si="50"/>
        <v>29.200500000000002</v>
      </c>
      <c r="D452" s="19" t="s">
        <v>13</v>
      </c>
      <c r="E452" s="19" t="s">
        <v>14</v>
      </c>
      <c r="F452" s="19" t="s">
        <v>15</v>
      </c>
      <c r="G452" s="19" t="s">
        <v>16</v>
      </c>
      <c r="H452" s="19" t="s">
        <v>17</v>
      </c>
      <c r="I452" s="19">
        <v>28.35</v>
      </c>
      <c r="J452" s="19" t="s">
        <v>13</v>
      </c>
      <c r="K452" s="19" t="s">
        <v>18</v>
      </c>
      <c r="L452" s="19" t="s">
        <v>877</v>
      </c>
      <c r="M452" s="34">
        <f t="shared" si="48"/>
        <v>35.439478829999999</v>
      </c>
      <c r="N452" s="19">
        <v>0</v>
      </c>
      <c r="O452" s="34">
        <v>0</v>
      </c>
      <c r="P452" s="34">
        <f t="shared" si="49"/>
        <v>-35.439478829999999</v>
      </c>
      <c r="Q452" s="21">
        <f t="shared" si="44"/>
        <v>35.439478829999999</v>
      </c>
    </row>
    <row r="453" spans="1:17" x14ac:dyDescent="0.25">
      <c r="A453" s="18" t="s">
        <v>879</v>
      </c>
      <c r="B453" s="19" t="s">
        <v>1562</v>
      </c>
      <c r="C453" s="28">
        <v>45.42</v>
      </c>
      <c r="D453" s="19" t="s">
        <v>13</v>
      </c>
      <c r="E453" s="19" t="s">
        <v>14</v>
      </c>
      <c r="F453" s="19" t="s">
        <v>33</v>
      </c>
      <c r="G453" s="19" t="s">
        <v>34</v>
      </c>
      <c r="H453" s="19" t="s">
        <v>115</v>
      </c>
      <c r="I453" s="19">
        <v>44.1</v>
      </c>
      <c r="J453" s="19" t="s">
        <v>13</v>
      </c>
      <c r="K453" s="19" t="s">
        <v>18</v>
      </c>
      <c r="L453" s="19" t="s">
        <v>879</v>
      </c>
      <c r="M453" s="34">
        <f t="shared" si="48"/>
        <v>55.124437200000003</v>
      </c>
      <c r="N453" s="19" t="s">
        <v>879</v>
      </c>
      <c r="O453" s="34">
        <v>55.125599999999999</v>
      </c>
      <c r="P453" s="34">
        <f t="shared" si="49"/>
        <v>1.1627999999959115E-3</v>
      </c>
      <c r="Q453" s="21">
        <f t="shared" si="44"/>
        <v>55.124437200000003</v>
      </c>
    </row>
    <row r="454" spans="1:17" x14ac:dyDescent="0.25">
      <c r="A454" s="18" t="s">
        <v>881</v>
      </c>
      <c r="B454" s="19" t="s">
        <v>1563</v>
      </c>
      <c r="C454" s="28">
        <v>90.85</v>
      </c>
      <c r="D454" s="19" t="s">
        <v>13</v>
      </c>
      <c r="E454" s="19" t="s">
        <v>14</v>
      </c>
      <c r="F454" s="19" t="s">
        <v>33</v>
      </c>
      <c r="G454" s="19" t="s">
        <v>34</v>
      </c>
      <c r="H454" s="19" t="s">
        <v>115</v>
      </c>
      <c r="I454" s="19">
        <v>88.2</v>
      </c>
      <c r="J454" s="19" t="s">
        <v>13</v>
      </c>
      <c r="K454" s="19" t="s">
        <v>18</v>
      </c>
      <c r="L454" s="19" t="s">
        <v>881</v>
      </c>
      <c r="M454" s="34">
        <f t="shared" si="48"/>
        <v>110.261011</v>
      </c>
      <c r="N454" s="19">
        <v>0</v>
      </c>
      <c r="O454" s="34">
        <v>0</v>
      </c>
      <c r="P454" s="34">
        <f t="shared" si="49"/>
        <v>-110.261011</v>
      </c>
      <c r="Q454" s="21">
        <f t="shared" si="44"/>
        <v>110.261011</v>
      </c>
    </row>
    <row r="455" spans="1:17" x14ac:dyDescent="0.25">
      <c r="A455" s="18" t="s">
        <v>883</v>
      </c>
      <c r="B455" s="19" t="s">
        <v>1564</v>
      </c>
      <c r="C455" s="28">
        <v>640.79999999999995</v>
      </c>
      <c r="D455" s="19" t="s">
        <v>13</v>
      </c>
      <c r="E455" s="19" t="s">
        <v>14</v>
      </c>
      <c r="F455" s="19" t="s">
        <v>33</v>
      </c>
      <c r="G455" s="19" t="s">
        <v>34</v>
      </c>
      <c r="H455" s="19" t="s">
        <v>115</v>
      </c>
      <c r="I455" s="19">
        <v>622.13</v>
      </c>
      <c r="J455" s="19" t="s">
        <v>13</v>
      </c>
      <c r="K455" s="19" t="s">
        <v>18</v>
      </c>
      <c r="L455" s="19" t="s">
        <v>883</v>
      </c>
      <c r="M455" s="34">
        <f t="shared" si="48"/>
        <v>777.71332799999993</v>
      </c>
      <c r="N455" s="19" t="s">
        <v>883</v>
      </c>
      <c r="O455" s="34">
        <v>777.70150000000001</v>
      </c>
      <c r="P455" s="34">
        <f t="shared" si="49"/>
        <v>-1.1827999999923122E-2</v>
      </c>
      <c r="Q455" s="21">
        <f t="shared" si="44"/>
        <v>777.71332799999993</v>
      </c>
    </row>
    <row r="456" spans="1:17" x14ac:dyDescent="0.25">
      <c r="A456" s="18" t="s">
        <v>885</v>
      </c>
      <c r="B456" s="19" t="s">
        <v>1565</v>
      </c>
      <c r="C456" s="28">
        <f>I456*3%+I456</f>
        <v>740.3125</v>
      </c>
      <c r="D456" s="19" t="s">
        <v>13</v>
      </c>
      <c r="E456" s="19" t="s">
        <v>14</v>
      </c>
      <c r="F456" s="19" t="s">
        <v>33</v>
      </c>
      <c r="G456" s="19" t="s">
        <v>34</v>
      </c>
      <c r="H456" s="19" t="s">
        <v>115</v>
      </c>
      <c r="I456" s="19">
        <v>718.75</v>
      </c>
      <c r="J456" s="19" t="s">
        <v>13</v>
      </c>
      <c r="K456" s="19" t="s">
        <v>18</v>
      </c>
      <c r="L456" s="19" t="s">
        <v>885</v>
      </c>
      <c r="M456" s="34">
        <f t="shared" si="48"/>
        <v>898.48766875000001</v>
      </c>
      <c r="N456" s="19" t="s">
        <v>885</v>
      </c>
      <c r="O456" s="34">
        <v>898.4896</v>
      </c>
      <c r="P456" s="34">
        <f t="shared" si="49"/>
        <v>1.9312499999841748E-3</v>
      </c>
      <c r="Q456" s="21">
        <f t="shared" ref="Q456:Q519" si="51">C456*1.21366</f>
        <v>898.48766875000001</v>
      </c>
    </row>
    <row r="457" spans="1:17" x14ac:dyDescent="0.25">
      <c r="A457" s="18" t="s">
        <v>887</v>
      </c>
      <c r="B457" s="19" t="s">
        <v>1566</v>
      </c>
      <c r="C457" s="28">
        <v>118.965</v>
      </c>
      <c r="D457" s="19" t="s">
        <v>13</v>
      </c>
      <c r="E457" s="19" t="s">
        <v>14</v>
      </c>
      <c r="F457" s="19" t="s">
        <v>33</v>
      </c>
      <c r="G457" s="19" t="s">
        <v>34</v>
      </c>
      <c r="H457" s="19" t="s">
        <v>115</v>
      </c>
      <c r="I457" s="19">
        <v>115.5</v>
      </c>
      <c r="J457" s="19" t="s">
        <v>13</v>
      </c>
      <c r="K457" s="19" t="s">
        <v>18</v>
      </c>
      <c r="L457" s="19" t="s">
        <v>887</v>
      </c>
      <c r="M457" s="34">
        <f t="shared" si="48"/>
        <v>144.3830619</v>
      </c>
      <c r="N457" s="19">
        <v>0</v>
      </c>
      <c r="O457" s="34">
        <v>0</v>
      </c>
      <c r="P457" s="34">
        <f t="shared" si="49"/>
        <v>-144.3830619</v>
      </c>
      <c r="Q457" s="21">
        <f t="shared" si="51"/>
        <v>144.3830619</v>
      </c>
    </row>
    <row r="458" spans="1:17" x14ac:dyDescent="0.25">
      <c r="A458" s="18" t="s">
        <v>889</v>
      </c>
      <c r="B458" s="19" t="s">
        <v>1567</v>
      </c>
      <c r="C458" s="28">
        <v>746.23500000000001</v>
      </c>
      <c r="D458" s="19" t="s">
        <v>13</v>
      </c>
      <c r="E458" s="19" t="s">
        <v>14</v>
      </c>
      <c r="F458" s="19" t="s">
        <v>33</v>
      </c>
      <c r="G458" s="19" t="s">
        <v>34</v>
      </c>
      <c r="H458" s="19" t="s">
        <v>115</v>
      </c>
      <c r="I458" s="19">
        <v>724.5</v>
      </c>
      <c r="J458" s="19" t="s">
        <v>13</v>
      </c>
      <c r="K458" s="19" t="s">
        <v>18</v>
      </c>
      <c r="L458" s="19" t="s">
        <v>889</v>
      </c>
      <c r="M458" s="34">
        <f t="shared" si="48"/>
        <v>905.67557009999996</v>
      </c>
      <c r="N458" s="19" t="s">
        <v>889</v>
      </c>
      <c r="O458" s="34">
        <v>905.67899999999997</v>
      </c>
      <c r="P458" s="34">
        <f t="shared" si="49"/>
        <v>3.4299000000146407E-3</v>
      </c>
      <c r="Q458" s="21">
        <f t="shared" si="51"/>
        <v>905.67557009999996</v>
      </c>
    </row>
    <row r="459" spans="1:17" x14ac:dyDescent="0.25">
      <c r="A459" s="18" t="s">
        <v>891</v>
      </c>
      <c r="B459" s="19" t="s">
        <v>1568</v>
      </c>
      <c r="C459" s="28">
        <v>324.45</v>
      </c>
      <c r="D459" s="19" t="s">
        <v>13</v>
      </c>
      <c r="E459" s="19" t="s">
        <v>14</v>
      </c>
      <c r="F459" s="19" t="s">
        <v>33</v>
      </c>
      <c r="G459" s="19" t="s">
        <v>34</v>
      </c>
      <c r="H459" s="19" t="s">
        <v>115</v>
      </c>
      <c r="I459" s="19">
        <v>315</v>
      </c>
      <c r="J459" s="19" t="s">
        <v>13</v>
      </c>
      <c r="K459" s="19" t="s">
        <v>18</v>
      </c>
      <c r="L459" s="19" t="s">
        <v>891</v>
      </c>
      <c r="M459" s="34">
        <f t="shared" si="48"/>
        <v>393.77198699999997</v>
      </c>
      <c r="N459" s="19">
        <v>0</v>
      </c>
      <c r="O459" s="34">
        <v>0</v>
      </c>
      <c r="P459" s="34">
        <f t="shared" si="49"/>
        <v>-393.77198699999997</v>
      </c>
      <c r="Q459" s="21">
        <f t="shared" si="51"/>
        <v>393.77198699999997</v>
      </c>
    </row>
    <row r="460" spans="1:17" x14ac:dyDescent="0.25">
      <c r="A460" s="18" t="s">
        <v>893</v>
      </c>
      <c r="B460" s="19" t="s">
        <v>1569</v>
      </c>
      <c r="C460" s="28">
        <v>90.125</v>
      </c>
      <c r="D460" s="19" t="s">
        <v>13</v>
      </c>
      <c r="E460" s="19" t="s">
        <v>14</v>
      </c>
      <c r="F460" s="19" t="s">
        <v>33</v>
      </c>
      <c r="G460" s="19" t="s">
        <v>34</v>
      </c>
      <c r="H460" s="19" t="s">
        <v>115</v>
      </c>
      <c r="I460" s="19">
        <v>87.5</v>
      </c>
      <c r="J460" s="19" t="s">
        <v>13</v>
      </c>
      <c r="K460" s="19" t="s">
        <v>18</v>
      </c>
      <c r="L460" s="19" t="s">
        <v>893</v>
      </c>
      <c r="M460" s="34">
        <f t="shared" si="48"/>
        <v>109.3811075</v>
      </c>
      <c r="N460" s="19" t="s">
        <v>893</v>
      </c>
      <c r="O460" s="34">
        <v>109.386</v>
      </c>
      <c r="P460" s="34">
        <f t="shared" si="49"/>
        <v>4.8924999999968577E-3</v>
      </c>
      <c r="Q460" s="21">
        <f t="shared" si="51"/>
        <v>109.3811075</v>
      </c>
    </row>
    <row r="461" spans="1:17" x14ac:dyDescent="0.25">
      <c r="A461" s="18" t="s">
        <v>895</v>
      </c>
      <c r="B461" s="19" t="s">
        <v>1570</v>
      </c>
      <c r="C461" s="28">
        <v>356.89499999999998</v>
      </c>
      <c r="D461" s="19" t="s">
        <v>13</v>
      </c>
      <c r="E461" s="19" t="s">
        <v>14</v>
      </c>
      <c r="F461" s="19" t="s">
        <v>33</v>
      </c>
      <c r="G461" s="19" t="s">
        <v>34</v>
      </c>
      <c r="H461" s="19" t="s">
        <v>115</v>
      </c>
      <c r="I461" s="19">
        <v>346.5</v>
      </c>
      <c r="J461" s="19" t="s">
        <v>13</v>
      </c>
      <c r="K461" s="19" t="s">
        <v>18</v>
      </c>
      <c r="L461" s="19" t="s">
        <v>895</v>
      </c>
      <c r="M461" s="34">
        <f t="shared" si="48"/>
        <v>433.14918569999998</v>
      </c>
      <c r="N461" s="19">
        <v>0</v>
      </c>
      <c r="O461" s="34">
        <v>0</v>
      </c>
      <c r="P461" s="34">
        <f t="shared" si="49"/>
        <v>-433.14918569999998</v>
      </c>
      <c r="Q461" s="21">
        <f t="shared" si="51"/>
        <v>433.14918569999998</v>
      </c>
    </row>
    <row r="462" spans="1:17" x14ac:dyDescent="0.25">
      <c r="A462" s="18" t="s">
        <v>897</v>
      </c>
      <c r="B462" s="19" t="s">
        <v>1571</v>
      </c>
      <c r="C462" s="28">
        <v>60</v>
      </c>
      <c r="D462" s="19" t="s">
        <v>111</v>
      </c>
      <c r="E462" s="19" t="s">
        <v>14</v>
      </c>
      <c r="F462" s="19" t="s">
        <v>33</v>
      </c>
      <c r="G462" s="19" t="s">
        <v>34</v>
      </c>
      <c r="H462" s="19" t="s">
        <v>564</v>
      </c>
      <c r="I462" s="19">
        <v>63</v>
      </c>
      <c r="J462" s="19" t="s">
        <v>111</v>
      </c>
      <c r="K462" s="19" t="s">
        <v>18</v>
      </c>
      <c r="L462" s="19" t="s">
        <v>897</v>
      </c>
      <c r="M462" s="34">
        <f t="shared" si="48"/>
        <v>72.819599999999994</v>
      </c>
      <c r="N462" s="19" t="s">
        <v>897</v>
      </c>
      <c r="O462" s="34">
        <v>78.753799999999998</v>
      </c>
      <c r="P462" s="34">
        <f t="shared" si="49"/>
        <v>5.9342000000000041</v>
      </c>
      <c r="Q462" s="21">
        <f t="shared" si="51"/>
        <v>72.819599999999994</v>
      </c>
    </row>
    <row r="463" spans="1:17" x14ac:dyDescent="0.25">
      <c r="A463" s="18" t="s">
        <v>899</v>
      </c>
      <c r="B463" s="19" t="s">
        <v>1572</v>
      </c>
      <c r="C463" s="28">
        <v>268</v>
      </c>
      <c r="D463" s="19" t="s">
        <v>191</v>
      </c>
      <c r="E463" s="19" t="s">
        <v>14</v>
      </c>
      <c r="F463" s="19" t="s">
        <v>33</v>
      </c>
      <c r="G463" s="19" t="s">
        <v>34</v>
      </c>
      <c r="H463" s="19" t="s">
        <v>564</v>
      </c>
      <c r="I463" s="19">
        <v>278.25</v>
      </c>
      <c r="J463" s="19" t="s">
        <v>191</v>
      </c>
      <c r="K463" s="19" t="s">
        <v>18</v>
      </c>
      <c r="L463" s="19" t="s">
        <v>899</v>
      </c>
      <c r="M463" s="34">
        <f t="shared" si="48"/>
        <v>325.26087999999999</v>
      </c>
      <c r="N463" s="19" t="s">
        <v>899</v>
      </c>
      <c r="O463" s="34">
        <v>347.83100000000002</v>
      </c>
      <c r="P463" s="34">
        <f t="shared" si="49"/>
        <v>22.570120000000031</v>
      </c>
      <c r="Q463" s="21">
        <f t="shared" si="51"/>
        <v>325.26087999999999</v>
      </c>
    </row>
    <row r="464" spans="1:17" x14ac:dyDescent="0.25">
      <c r="A464" s="18" t="s">
        <v>901</v>
      </c>
      <c r="B464" s="19" t="s">
        <v>1573</v>
      </c>
      <c r="C464" s="28">
        <v>278</v>
      </c>
      <c r="D464" s="19" t="s">
        <v>191</v>
      </c>
      <c r="E464" s="19" t="s">
        <v>14</v>
      </c>
      <c r="F464" s="19" t="s">
        <v>33</v>
      </c>
      <c r="G464" s="19" t="s">
        <v>34</v>
      </c>
      <c r="H464" s="19" t="s">
        <v>564</v>
      </c>
      <c r="I464" s="19">
        <v>262.5</v>
      </c>
      <c r="J464" s="19" t="s">
        <v>191</v>
      </c>
      <c r="K464" s="19" t="s">
        <v>18</v>
      </c>
      <c r="L464" s="19" t="s">
        <v>901</v>
      </c>
      <c r="M464" s="34">
        <f t="shared" si="48"/>
        <v>337.39747999999997</v>
      </c>
      <c r="N464" s="19" t="s">
        <v>901</v>
      </c>
      <c r="O464" s="34">
        <v>328.14769999999999</v>
      </c>
      <c r="P464" s="34">
        <f t="shared" si="49"/>
        <v>-9.249779999999987</v>
      </c>
      <c r="Q464" s="21">
        <f t="shared" si="51"/>
        <v>337.39747999999997</v>
      </c>
    </row>
    <row r="465" spans="1:17" x14ac:dyDescent="0.25">
      <c r="A465" s="18" t="s">
        <v>903</v>
      </c>
      <c r="B465" s="19" t="s">
        <v>1574</v>
      </c>
      <c r="C465" s="28">
        <v>205.49</v>
      </c>
      <c r="D465" s="19" t="s">
        <v>191</v>
      </c>
      <c r="E465" s="19" t="s">
        <v>14</v>
      </c>
      <c r="F465" s="19" t="s">
        <v>33</v>
      </c>
      <c r="G465" s="19" t="s">
        <v>34</v>
      </c>
      <c r="H465" s="19" t="s">
        <v>564</v>
      </c>
      <c r="I465" s="19">
        <v>199.5</v>
      </c>
      <c r="J465" s="19" t="s">
        <v>191</v>
      </c>
      <c r="K465" s="19" t="s">
        <v>18</v>
      </c>
      <c r="L465" s="19" t="s">
        <v>903</v>
      </c>
      <c r="M465" s="34">
        <f t="shared" si="48"/>
        <v>249.3949934</v>
      </c>
      <c r="N465" s="19">
        <v>0</v>
      </c>
      <c r="O465" s="34">
        <v>0</v>
      </c>
      <c r="P465" s="34">
        <f t="shared" si="49"/>
        <v>-249.3949934</v>
      </c>
      <c r="Q465" s="21">
        <f t="shared" si="51"/>
        <v>249.3949934</v>
      </c>
    </row>
    <row r="466" spans="1:17" x14ac:dyDescent="0.25">
      <c r="A466" s="18" t="s">
        <v>905</v>
      </c>
      <c r="B466" s="19" t="s">
        <v>1575</v>
      </c>
      <c r="C466" s="28">
        <v>30</v>
      </c>
      <c r="D466" s="19" t="s">
        <v>32</v>
      </c>
      <c r="E466" s="19" t="s">
        <v>14</v>
      </c>
      <c r="F466" s="19" t="s">
        <v>33</v>
      </c>
      <c r="G466" s="19" t="s">
        <v>34</v>
      </c>
      <c r="H466" s="19" t="s">
        <v>265</v>
      </c>
      <c r="I466" s="19">
        <v>45.51</v>
      </c>
      <c r="J466" s="19" t="s">
        <v>32</v>
      </c>
      <c r="K466" s="19" t="s">
        <v>18</v>
      </c>
      <c r="L466" s="19" t="s">
        <v>905</v>
      </c>
      <c r="M466" s="34">
        <f t="shared" si="48"/>
        <v>36.409799999999997</v>
      </c>
      <c r="N466" s="19">
        <v>0</v>
      </c>
      <c r="O466" s="34">
        <v>0</v>
      </c>
      <c r="P466" s="34">
        <f t="shared" si="49"/>
        <v>-36.409799999999997</v>
      </c>
      <c r="Q466" s="21">
        <f t="shared" si="51"/>
        <v>36.409799999999997</v>
      </c>
    </row>
    <row r="467" spans="1:17" x14ac:dyDescent="0.25">
      <c r="A467" s="18" t="s">
        <v>907</v>
      </c>
      <c r="B467" s="19" t="s">
        <v>1576</v>
      </c>
      <c r="C467" s="28">
        <v>45</v>
      </c>
      <c r="D467" s="19" t="s">
        <v>111</v>
      </c>
      <c r="E467" s="19" t="s">
        <v>14</v>
      </c>
      <c r="F467" s="19" t="s">
        <v>33</v>
      </c>
      <c r="G467" s="19" t="s">
        <v>34</v>
      </c>
      <c r="H467" s="19" t="s">
        <v>265</v>
      </c>
      <c r="I467" s="19">
        <v>49.88</v>
      </c>
      <c r="J467" s="19" t="s">
        <v>111</v>
      </c>
      <c r="K467" s="19" t="s">
        <v>18</v>
      </c>
      <c r="L467" s="19" t="s">
        <v>907</v>
      </c>
      <c r="M467" s="34">
        <f t="shared" si="48"/>
        <v>54.614699999999999</v>
      </c>
      <c r="N467" s="19" t="s">
        <v>907</v>
      </c>
      <c r="O467" s="34">
        <v>62.356200000000001</v>
      </c>
      <c r="P467" s="34">
        <f t="shared" si="49"/>
        <v>7.741500000000002</v>
      </c>
      <c r="Q467" s="21">
        <f t="shared" si="51"/>
        <v>54.614699999999999</v>
      </c>
    </row>
    <row r="468" spans="1:17" x14ac:dyDescent="0.25">
      <c r="A468" s="18" t="s">
        <v>909</v>
      </c>
      <c r="B468" s="19" t="s">
        <v>1577</v>
      </c>
      <c r="C468" s="28">
        <f>I468*3%+I468</f>
        <v>102.74250000000001</v>
      </c>
      <c r="D468" s="19" t="s">
        <v>191</v>
      </c>
      <c r="E468" s="19" t="s">
        <v>14</v>
      </c>
      <c r="F468" s="19" t="s">
        <v>33</v>
      </c>
      <c r="G468" s="19" t="s">
        <v>34</v>
      </c>
      <c r="H468" s="19" t="s">
        <v>35</v>
      </c>
      <c r="I468" s="19">
        <v>99.75</v>
      </c>
      <c r="J468" s="19" t="s">
        <v>191</v>
      </c>
      <c r="K468" s="19" t="s">
        <v>18</v>
      </c>
      <c r="L468" s="19" t="s">
        <v>909</v>
      </c>
      <c r="M468" s="34">
        <f t="shared" si="48"/>
        <v>124.69446255</v>
      </c>
      <c r="N468" s="19">
        <v>0</v>
      </c>
      <c r="O468" s="34">
        <v>0</v>
      </c>
      <c r="P468" s="34">
        <f t="shared" si="49"/>
        <v>-124.69446255</v>
      </c>
      <c r="Q468" s="21">
        <f t="shared" si="51"/>
        <v>124.69446255</v>
      </c>
    </row>
    <row r="469" spans="1:17" x14ac:dyDescent="0.25">
      <c r="A469" s="18" t="s">
        <v>911</v>
      </c>
      <c r="B469" s="19" t="s">
        <v>1578</v>
      </c>
      <c r="C469" s="28">
        <v>42</v>
      </c>
      <c r="D469" s="19" t="s">
        <v>111</v>
      </c>
      <c r="E469" s="19" t="s">
        <v>14</v>
      </c>
      <c r="F469" s="19" t="s">
        <v>33</v>
      </c>
      <c r="G469" s="19" t="s">
        <v>34</v>
      </c>
      <c r="H469" s="19" t="s">
        <v>489</v>
      </c>
      <c r="I469" s="19">
        <v>50.62</v>
      </c>
      <c r="J469" s="19" t="s">
        <v>111</v>
      </c>
      <c r="K469" s="19" t="s">
        <v>18</v>
      </c>
      <c r="L469" s="19" t="s">
        <v>911</v>
      </c>
      <c r="M469" s="34">
        <f t="shared" si="48"/>
        <v>50.97372</v>
      </c>
      <c r="N469" s="19" t="s">
        <v>911</v>
      </c>
      <c r="O469" s="34">
        <v>63.283200000000001</v>
      </c>
      <c r="P469" s="34">
        <f t="shared" si="49"/>
        <v>12.309480000000001</v>
      </c>
      <c r="Q469" s="21">
        <f t="shared" si="51"/>
        <v>50.97372</v>
      </c>
    </row>
    <row r="470" spans="1:17" x14ac:dyDescent="0.25">
      <c r="A470" s="18" t="s">
        <v>913</v>
      </c>
      <c r="B470" s="19" t="s">
        <v>1579</v>
      </c>
      <c r="C470" s="28">
        <v>42</v>
      </c>
      <c r="D470" s="19" t="s">
        <v>111</v>
      </c>
      <c r="E470" s="19" t="s">
        <v>14</v>
      </c>
      <c r="F470" s="19" t="s">
        <v>33</v>
      </c>
      <c r="G470" s="19" t="s">
        <v>34</v>
      </c>
      <c r="H470" s="19" t="s">
        <v>489</v>
      </c>
      <c r="I470" s="19">
        <v>50.62</v>
      </c>
      <c r="J470" s="19" t="s">
        <v>111</v>
      </c>
      <c r="K470" s="19" t="s">
        <v>18</v>
      </c>
      <c r="L470" s="19" t="s">
        <v>913</v>
      </c>
      <c r="M470" s="34">
        <f t="shared" si="48"/>
        <v>50.97372</v>
      </c>
      <c r="N470" s="19" t="s">
        <v>913</v>
      </c>
      <c r="O470" s="34">
        <v>63.283200000000001</v>
      </c>
      <c r="P470" s="34">
        <f t="shared" si="49"/>
        <v>12.309480000000001</v>
      </c>
      <c r="Q470" s="21">
        <f t="shared" si="51"/>
        <v>50.97372</v>
      </c>
    </row>
    <row r="471" spans="1:17" x14ac:dyDescent="0.25">
      <c r="A471" s="18" t="s">
        <v>915</v>
      </c>
      <c r="B471" s="19" t="s">
        <v>1580</v>
      </c>
      <c r="C471" s="28">
        <f>I471*3%+I471</f>
        <v>449.68769999999995</v>
      </c>
      <c r="D471" s="19" t="s">
        <v>13</v>
      </c>
      <c r="E471" s="19" t="s">
        <v>23</v>
      </c>
      <c r="F471" s="19" t="s">
        <v>49</v>
      </c>
      <c r="G471" s="19" t="s">
        <v>50</v>
      </c>
      <c r="H471" s="19" t="s">
        <v>50</v>
      </c>
      <c r="I471" s="19">
        <v>436.59</v>
      </c>
      <c r="J471" s="19" t="s">
        <v>13</v>
      </c>
      <c r="K471" s="19" t="s">
        <v>18</v>
      </c>
      <c r="L471" s="19" t="s">
        <v>915</v>
      </c>
      <c r="M471" s="34">
        <f t="shared" si="48"/>
        <v>545.76797398199994</v>
      </c>
      <c r="N471" s="19">
        <v>0</v>
      </c>
      <c r="O471" s="34">
        <v>0</v>
      </c>
      <c r="P471" s="34">
        <f t="shared" si="49"/>
        <v>-545.76797398199994</v>
      </c>
      <c r="Q471" s="21">
        <f t="shared" si="51"/>
        <v>545.76797398199994</v>
      </c>
    </row>
    <row r="472" spans="1:17" x14ac:dyDescent="0.25">
      <c r="A472" s="18" t="s">
        <v>917</v>
      </c>
      <c r="B472" s="19" t="s">
        <v>1581</v>
      </c>
      <c r="C472" s="28">
        <f t="shared" ref="C472:C487" si="52">I472*3%+I472</f>
        <v>42.302100000000003</v>
      </c>
      <c r="D472" s="19" t="s">
        <v>111</v>
      </c>
      <c r="E472" s="19" t="s">
        <v>14</v>
      </c>
      <c r="F472" s="19" t="s">
        <v>131</v>
      </c>
      <c r="G472" s="19" t="s">
        <v>132</v>
      </c>
      <c r="H472" s="19" t="s">
        <v>594</v>
      </c>
      <c r="I472" s="19">
        <v>41.07</v>
      </c>
      <c r="J472" s="19" t="s">
        <v>111</v>
      </c>
      <c r="K472" s="19" t="s">
        <v>18</v>
      </c>
      <c r="L472" s="19" t="s">
        <v>917</v>
      </c>
      <c r="M472" s="34">
        <f t="shared" si="48"/>
        <v>51.340366686000003</v>
      </c>
      <c r="N472" s="19">
        <v>0</v>
      </c>
      <c r="O472" s="34">
        <v>0</v>
      </c>
      <c r="P472" s="34">
        <f t="shared" si="49"/>
        <v>-51.340366686000003</v>
      </c>
      <c r="Q472" s="21">
        <f t="shared" si="51"/>
        <v>51.340366686000003</v>
      </c>
    </row>
    <row r="473" spans="1:17" x14ac:dyDescent="0.25">
      <c r="A473" s="18" t="s">
        <v>919</v>
      </c>
      <c r="B473" s="19" t="s">
        <v>1582</v>
      </c>
      <c r="C473" s="28">
        <f t="shared" si="52"/>
        <v>25.6676</v>
      </c>
      <c r="D473" s="19" t="s">
        <v>111</v>
      </c>
      <c r="E473" s="19" t="s">
        <v>14</v>
      </c>
      <c r="F473" s="19" t="s">
        <v>44</v>
      </c>
      <c r="G473" s="19" t="s">
        <v>45</v>
      </c>
      <c r="H473" s="19" t="s">
        <v>46</v>
      </c>
      <c r="I473" s="19">
        <v>24.92</v>
      </c>
      <c r="J473" s="19" t="s">
        <v>111</v>
      </c>
      <c r="K473" s="19" t="s">
        <v>18</v>
      </c>
      <c r="L473" s="19" t="s">
        <v>919</v>
      </c>
      <c r="M473" s="34">
        <f t="shared" si="48"/>
        <v>31.151739415999998</v>
      </c>
      <c r="N473" s="19">
        <v>0</v>
      </c>
      <c r="O473" s="34">
        <v>0</v>
      </c>
      <c r="P473" s="34">
        <f t="shared" si="49"/>
        <v>-31.151739415999998</v>
      </c>
      <c r="Q473" s="21">
        <f t="shared" si="51"/>
        <v>31.151739415999998</v>
      </c>
    </row>
    <row r="474" spans="1:17" x14ac:dyDescent="0.25">
      <c r="A474" s="18" t="s">
        <v>921</v>
      </c>
      <c r="B474" s="19" t="s">
        <v>1583</v>
      </c>
      <c r="C474" s="28">
        <f t="shared" si="52"/>
        <v>2.0394000000000001</v>
      </c>
      <c r="D474" s="19" t="s">
        <v>13</v>
      </c>
      <c r="E474" s="19" t="s">
        <v>14</v>
      </c>
      <c r="F474" s="19" t="s">
        <v>44</v>
      </c>
      <c r="G474" s="19" t="s">
        <v>45</v>
      </c>
      <c r="H474" s="19" t="s">
        <v>46</v>
      </c>
      <c r="I474" s="19">
        <v>1.98</v>
      </c>
      <c r="J474" s="19" t="s">
        <v>13</v>
      </c>
      <c r="K474" s="19" t="s">
        <v>18</v>
      </c>
      <c r="L474" s="19" t="s">
        <v>921</v>
      </c>
      <c r="M474" s="34">
        <f t="shared" si="48"/>
        <v>2.4751382039999998</v>
      </c>
      <c r="N474" s="19">
        <v>0</v>
      </c>
      <c r="O474" s="34">
        <v>0</v>
      </c>
      <c r="P474" s="34">
        <f t="shared" si="49"/>
        <v>-2.4751382039999998</v>
      </c>
      <c r="Q474" s="21">
        <f t="shared" si="51"/>
        <v>2.4751382039999998</v>
      </c>
    </row>
    <row r="475" spans="1:17" x14ac:dyDescent="0.25">
      <c r="A475" s="18" t="s">
        <v>923</v>
      </c>
      <c r="B475" s="19" t="s">
        <v>1584</v>
      </c>
      <c r="C475" s="28">
        <f t="shared" si="52"/>
        <v>23.414475000000003</v>
      </c>
      <c r="D475" s="19" t="s">
        <v>124</v>
      </c>
      <c r="E475" s="19" t="s">
        <v>14</v>
      </c>
      <c r="F475" s="19" t="s">
        <v>44</v>
      </c>
      <c r="G475" s="19" t="s">
        <v>45</v>
      </c>
      <c r="H475" s="19" t="s">
        <v>46</v>
      </c>
      <c r="I475" s="19">
        <v>22.732500000000002</v>
      </c>
      <c r="J475" s="19" t="s">
        <v>124</v>
      </c>
      <c r="K475" s="19" t="s">
        <v>18</v>
      </c>
      <c r="L475" s="19" t="s">
        <v>923</v>
      </c>
      <c r="M475" s="34">
        <f t="shared" si="48"/>
        <v>28.417211728500003</v>
      </c>
      <c r="N475" s="19">
        <v>0</v>
      </c>
      <c r="O475" s="34">
        <v>0</v>
      </c>
      <c r="P475" s="34">
        <f t="shared" si="49"/>
        <v>-28.417211728500003</v>
      </c>
      <c r="Q475" s="21">
        <f t="shared" si="51"/>
        <v>28.417211728500003</v>
      </c>
    </row>
    <row r="476" spans="1:17" x14ac:dyDescent="0.25">
      <c r="A476" s="18" t="s">
        <v>925</v>
      </c>
      <c r="B476" s="19" t="s">
        <v>1585</v>
      </c>
      <c r="C476" s="28">
        <f t="shared" si="52"/>
        <v>29.121704999999999</v>
      </c>
      <c r="D476" s="19" t="s">
        <v>124</v>
      </c>
      <c r="E476" s="19" t="s">
        <v>14</v>
      </c>
      <c r="F476" s="19" t="s">
        <v>44</v>
      </c>
      <c r="G476" s="19" t="s">
        <v>45</v>
      </c>
      <c r="H476" s="19" t="s">
        <v>46</v>
      </c>
      <c r="I476" s="19">
        <v>28.273499999999999</v>
      </c>
      <c r="J476" s="19" t="s">
        <v>124</v>
      </c>
      <c r="K476" s="19" t="s">
        <v>18</v>
      </c>
      <c r="L476" s="19" t="s">
        <v>925</v>
      </c>
      <c r="M476" s="34">
        <f t="shared" si="48"/>
        <v>35.343848490299997</v>
      </c>
      <c r="N476" s="19">
        <v>0</v>
      </c>
      <c r="O476" s="34">
        <v>0</v>
      </c>
      <c r="P476" s="34">
        <f t="shared" si="49"/>
        <v>-35.343848490299997</v>
      </c>
      <c r="Q476" s="21">
        <f t="shared" si="51"/>
        <v>35.343848490299997</v>
      </c>
    </row>
    <row r="477" spans="1:17" x14ac:dyDescent="0.25">
      <c r="A477" s="18" t="s">
        <v>927</v>
      </c>
      <c r="B477" s="19" t="s">
        <v>1586</v>
      </c>
      <c r="C477" s="28">
        <f t="shared" si="52"/>
        <v>79.660200000000003</v>
      </c>
      <c r="D477" s="19" t="s">
        <v>32</v>
      </c>
      <c r="E477" s="19" t="s">
        <v>14</v>
      </c>
      <c r="F477" s="19" t="s">
        <v>44</v>
      </c>
      <c r="G477" s="19" t="s">
        <v>45</v>
      </c>
      <c r="H477" s="19" t="s">
        <v>46</v>
      </c>
      <c r="I477" s="19">
        <v>77.34</v>
      </c>
      <c r="J477" s="19" t="s">
        <v>32</v>
      </c>
      <c r="K477" s="19" t="s">
        <v>18</v>
      </c>
      <c r="L477" s="19" t="s">
        <v>927</v>
      </c>
      <c r="M477" s="34">
        <f t="shared" si="48"/>
        <v>96.680398331999996</v>
      </c>
      <c r="N477" s="19">
        <v>0</v>
      </c>
      <c r="O477" s="34">
        <v>0</v>
      </c>
      <c r="P477" s="34">
        <f t="shared" si="49"/>
        <v>-96.680398331999996</v>
      </c>
      <c r="Q477" s="21">
        <f t="shared" si="51"/>
        <v>96.680398331999996</v>
      </c>
    </row>
    <row r="478" spans="1:17" x14ac:dyDescent="0.25">
      <c r="A478" s="18" t="s">
        <v>929</v>
      </c>
      <c r="B478" s="19" t="s">
        <v>1587</v>
      </c>
      <c r="C478" s="28">
        <f t="shared" si="52"/>
        <v>87.096800000000002</v>
      </c>
      <c r="D478" s="19" t="s">
        <v>32</v>
      </c>
      <c r="E478" s="19" t="s">
        <v>14</v>
      </c>
      <c r="F478" s="19" t="s">
        <v>44</v>
      </c>
      <c r="G478" s="19" t="s">
        <v>45</v>
      </c>
      <c r="H478" s="19" t="s">
        <v>46</v>
      </c>
      <c r="I478" s="19">
        <v>84.56</v>
      </c>
      <c r="J478" s="19" t="s">
        <v>32</v>
      </c>
      <c r="K478" s="19" t="s">
        <v>18</v>
      </c>
      <c r="L478" s="19" t="s">
        <v>929</v>
      </c>
      <c r="M478" s="34">
        <f t="shared" si="48"/>
        <v>105.705902288</v>
      </c>
      <c r="N478" s="19">
        <v>0</v>
      </c>
      <c r="O478" s="34">
        <v>0</v>
      </c>
      <c r="P478" s="34">
        <f t="shared" si="49"/>
        <v>-105.705902288</v>
      </c>
      <c r="Q478" s="21">
        <f t="shared" si="51"/>
        <v>105.705902288</v>
      </c>
    </row>
    <row r="479" spans="1:17" x14ac:dyDescent="0.25">
      <c r="A479" s="18" t="s">
        <v>931</v>
      </c>
      <c r="B479" s="19" t="s">
        <v>1588</v>
      </c>
      <c r="C479" s="28">
        <f t="shared" si="52"/>
        <v>138.2157</v>
      </c>
      <c r="D479" s="19" t="s">
        <v>32</v>
      </c>
      <c r="E479" s="19" t="s">
        <v>14</v>
      </c>
      <c r="F479" s="19" t="s">
        <v>44</v>
      </c>
      <c r="G479" s="19" t="s">
        <v>45</v>
      </c>
      <c r="H479" s="19" t="s">
        <v>46</v>
      </c>
      <c r="I479" s="19">
        <v>134.19</v>
      </c>
      <c r="J479" s="19" t="s">
        <v>32</v>
      </c>
      <c r="K479" s="19" t="s">
        <v>18</v>
      </c>
      <c r="L479" s="19" t="s">
        <v>931</v>
      </c>
      <c r="M479" s="34">
        <f t="shared" si="48"/>
        <v>167.74686646199999</v>
      </c>
      <c r="N479" s="19" t="s">
        <v>931</v>
      </c>
      <c r="O479" s="34">
        <v>167.7458</v>
      </c>
      <c r="P479" s="34">
        <f t="shared" si="49"/>
        <v>-1.0664619999829483E-3</v>
      </c>
      <c r="Q479" s="21">
        <f t="shared" si="51"/>
        <v>167.74686646199999</v>
      </c>
    </row>
    <row r="480" spans="1:17" x14ac:dyDescent="0.25">
      <c r="A480" s="18" t="s">
        <v>933</v>
      </c>
      <c r="B480" s="19" t="s">
        <v>1589</v>
      </c>
      <c r="C480" s="28">
        <f t="shared" si="52"/>
        <v>109.2418</v>
      </c>
      <c r="D480" s="19" t="s">
        <v>32</v>
      </c>
      <c r="E480" s="19" t="s">
        <v>14</v>
      </c>
      <c r="F480" s="19" t="s">
        <v>44</v>
      </c>
      <c r="G480" s="19" t="s">
        <v>45</v>
      </c>
      <c r="H480" s="19" t="s">
        <v>46</v>
      </c>
      <c r="I480" s="19">
        <v>106.06</v>
      </c>
      <c r="J480" s="19" t="s">
        <v>32</v>
      </c>
      <c r="K480" s="19" t="s">
        <v>18</v>
      </c>
      <c r="L480" s="19" t="s">
        <v>933</v>
      </c>
      <c r="M480" s="34">
        <f t="shared" si="48"/>
        <v>132.58240298799998</v>
      </c>
      <c r="N480" s="19" t="s">
        <v>933</v>
      </c>
      <c r="O480" s="34">
        <v>132.58160000000001</v>
      </c>
      <c r="P480" s="34">
        <f t="shared" si="49"/>
        <v>-8.0298799997535752E-4</v>
      </c>
      <c r="Q480" s="21">
        <f t="shared" si="51"/>
        <v>132.58240298799998</v>
      </c>
    </row>
    <row r="481" spans="1:17" x14ac:dyDescent="0.25">
      <c r="A481" s="18" t="s">
        <v>935</v>
      </c>
      <c r="B481" s="19" t="s">
        <v>1590</v>
      </c>
      <c r="C481" s="28">
        <f t="shared" si="52"/>
        <v>125.27889999999999</v>
      </c>
      <c r="D481" s="19" t="s">
        <v>32</v>
      </c>
      <c r="E481" s="19" t="s">
        <v>14</v>
      </c>
      <c r="F481" s="19" t="s">
        <v>44</v>
      </c>
      <c r="G481" s="19" t="s">
        <v>45</v>
      </c>
      <c r="H481" s="19" t="s">
        <v>46</v>
      </c>
      <c r="I481" s="19">
        <v>121.63</v>
      </c>
      <c r="J481" s="19" t="s">
        <v>32</v>
      </c>
      <c r="K481" s="19" t="s">
        <v>18</v>
      </c>
      <c r="L481" s="19" t="s">
        <v>935</v>
      </c>
      <c r="M481" s="34">
        <f t="shared" si="48"/>
        <v>152.04598977399999</v>
      </c>
      <c r="N481" s="19" t="s">
        <v>935</v>
      </c>
      <c r="O481" s="34">
        <v>152.04859999999999</v>
      </c>
      <c r="P481" s="34">
        <f t="shared" si="49"/>
        <v>2.6102260000016031E-3</v>
      </c>
      <c r="Q481" s="21">
        <f t="shared" si="51"/>
        <v>152.04598977399999</v>
      </c>
    </row>
    <row r="482" spans="1:17" x14ac:dyDescent="0.25">
      <c r="A482" s="18" t="s">
        <v>937</v>
      </c>
      <c r="B482" s="19" t="s">
        <v>1591</v>
      </c>
      <c r="C482" s="28">
        <f t="shared" si="52"/>
        <v>144.39570000000001</v>
      </c>
      <c r="D482" s="19" t="s">
        <v>32</v>
      </c>
      <c r="E482" s="19" t="s">
        <v>14</v>
      </c>
      <c r="F482" s="19" t="s">
        <v>44</v>
      </c>
      <c r="G482" s="19" t="s">
        <v>45</v>
      </c>
      <c r="H482" s="19" t="s">
        <v>46</v>
      </c>
      <c r="I482" s="19">
        <v>140.19</v>
      </c>
      <c r="J482" s="19" t="s">
        <v>32</v>
      </c>
      <c r="K482" s="19" t="s">
        <v>18</v>
      </c>
      <c r="L482" s="19" t="s">
        <v>937</v>
      </c>
      <c r="M482" s="34">
        <f t="shared" si="48"/>
        <v>175.24728526199999</v>
      </c>
      <c r="N482" s="19" t="s">
        <v>937</v>
      </c>
      <c r="O482" s="34">
        <v>175.24420000000001</v>
      </c>
      <c r="P482" s="34">
        <f t="shared" si="49"/>
        <v>-3.085261999984823E-3</v>
      </c>
      <c r="Q482" s="21">
        <f t="shared" si="51"/>
        <v>175.24728526199999</v>
      </c>
    </row>
    <row r="483" spans="1:17" x14ac:dyDescent="0.25">
      <c r="A483" s="18" t="s">
        <v>939</v>
      </c>
      <c r="B483" s="19" t="s">
        <v>1592</v>
      </c>
      <c r="C483" s="28">
        <f t="shared" si="52"/>
        <v>140.13150000000002</v>
      </c>
      <c r="D483" s="19" t="s">
        <v>32</v>
      </c>
      <c r="E483" s="19" t="s">
        <v>14</v>
      </c>
      <c r="F483" s="19" t="s">
        <v>44</v>
      </c>
      <c r="G483" s="19" t="s">
        <v>45</v>
      </c>
      <c r="H483" s="19" t="s">
        <v>46</v>
      </c>
      <c r="I483" s="19">
        <v>136.05000000000001</v>
      </c>
      <c r="J483" s="19" t="s">
        <v>32</v>
      </c>
      <c r="K483" s="19" t="s">
        <v>18</v>
      </c>
      <c r="L483" s="19" t="s">
        <v>939</v>
      </c>
      <c r="M483" s="34">
        <f t="shared" si="48"/>
        <v>170.07199629000002</v>
      </c>
      <c r="N483" s="19" t="s">
        <v>939</v>
      </c>
      <c r="O483" s="34">
        <v>170.0736</v>
      </c>
      <c r="P483" s="34">
        <f t="shared" si="49"/>
        <v>1.6037099999834936E-3</v>
      </c>
      <c r="Q483" s="21">
        <f t="shared" si="51"/>
        <v>170.07199629000002</v>
      </c>
    </row>
    <row r="484" spans="1:17" x14ac:dyDescent="0.25">
      <c r="A484" s="18" t="s">
        <v>941</v>
      </c>
      <c r="B484" s="19" t="s">
        <v>1593</v>
      </c>
      <c r="C484" s="28">
        <f t="shared" si="52"/>
        <v>203.322</v>
      </c>
      <c r="D484" s="19" t="s">
        <v>32</v>
      </c>
      <c r="E484" s="19" t="s">
        <v>14</v>
      </c>
      <c r="F484" s="19" t="s">
        <v>44</v>
      </c>
      <c r="G484" s="19" t="s">
        <v>45</v>
      </c>
      <c r="H484" s="19" t="s">
        <v>46</v>
      </c>
      <c r="I484" s="19">
        <v>197.4</v>
      </c>
      <c r="J484" s="19" t="s">
        <v>32</v>
      </c>
      <c r="K484" s="19" t="s">
        <v>18</v>
      </c>
      <c r="L484" s="19" t="s">
        <v>941</v>
      </c>
      <c r="M484" s="34">
        <f t="shared" si="48"/>
        <v>246.76377851999999</v>
      </c>
      <c r="N484" s="19" t="s">
        <v>941</v>
      </c>
      <c r="O484" s="34">
        <v>246.76740000000001</v>
      </c>
      <c r="P484" s="34">
        <f t="shared" si="49"/>
        <v>3.621480000020938E-3</v>
      </c>
      <c r="Q484" s="21">
        <f t="shared" si="51"/>
        <v>246.76377851999999</v>
      </c>
    </row>
    <row r="485" spans="1:17" x14ac:dyDescent="0.25">
      <c r="A485" s="18" t="s">
        <v>943</v>
      </c>
      <c r="B485" s="19" t="s">
        <v>1594</v>
      </c>
      <c r="C485" s="28">
        <f t="shared" si="52"/>
        <v>164.697</v>
      </c>
      <c r="D485" s="19" t="s">
        <v>32</v>
      </c>
      <c r="E485" s="19" t="s">
        <v>14</v>
      </c>
      <c r="F485" s="19" t="s">
        <v>44</v>
      </c>
      <c r="G485" s="19" t="s">
        <v>45</v>
      </c>
      <c r="H485" s="19" t="s">
        <v>46</v>
      </c>
      <c r="I485" s="19">
        <v>159.9</v>
      </c>
      <c r="J485" s="19" t="s">
        <v>32</v>
      </c>
      <c r="K485" s="19" t="s">
        <v>18</v>
      </c>
      <c r="L485" s="19" t="s">
        <v>943</v>
      </c>
      <c r="M485" s="34">
        <f t="shared" si="48"/>
        <v>199.88616102</v>
      </c>
      <c r="N485" s="19" t="s">
        <v>943</v>
      </c>
      <c r="O485" s="34">
        <v>199.8818</v>
      </c>
      <c r="P485" s="34">
        <f t="shared" si="49"/>
        <v>-4.3610200000046007E-3</v>
      </c>
      <c r="Q485" s="21">
        <f t="shared" si="51"/>
        <v>199.88616102</v>
      </c>
    </row>
    <row r="486" spans="1:17" x14ac:dyDescent="0.25">
      <c r="A486" s="18" t="s">
        <v>945</v>
      </c>
      <c r="B486" s="19" t="s">
        <v>1595</v>
      </c>
      <c r="C486" s="28">
        <f t="shared" si="52"/>
        <v>64.89</v>
      </c>
      <c r="D486" s="19" t="s">
        <v>242</v>
      </c>
      <c r="E486" s="19" t="s">
        <v>14</v>
      </c>
      <c r="F486" s="19" t="s">
        <v>44</v>
      </c>
      <c r="G486" s="19" t="s">
        <v>45</v>
      </c>
      <c r="H486" s="19" t="s">
        <v>46</v>
      </c>
      <c r="I486" s="19">
        <v>63</v>
      </c>
      <c r="J486" s="19" t="s">
        <v>242</v>
      </c>
      <c r="K486" s="19" t="s">
        <v>18</v>
      </c>
      <c r="L486" s="19" t="s">
        <v>945</v>
      </c>
      <c r="M486" s="34">
        <f t="shared" si="48"/>
        <v>78.754397400000002</v>
      </c>
      <c r="N486" s="19" t="s">
        <v>945</v>
      </c>
      <c r="O486" s="34">
        <v>78.753799999999998</v>
      </c>
      <c r="P486" s="34">
        <f t="shared" si="49"/>
        <v>-5.9740000000374494E-4</v>
      </c>
      <c r="Q486" s="21">
        <f t="shared" si="51"/>
        <v>78.754397400000002</v>
      </c>
    </row>
    <row r="487" spans="1:17" x14ac:dyDescent="0.25">
      <c r="A487" s="18" t="s">
        <v>947</v>
      </c>
      <c r="B487" s="19" t="s">
        <v>1596</v>
      </c>
      <c r="C487" s="28">
        <f t="shared" si="52"/>
        <v>178.44749999999999</v>
      </c>
      <c r="D487" s="19" t="s">
        <v>242</v>
      </c>
      <c r="E487" s="19" t="s">
        <v>14</v>
      </c>
      <c r="F487" s="19" t="s">
        <v>33</v>
      </c>
      <c r="G487" s="19" t="s">
        <v>34</v>
      </c>
      <c r="H487" s="19" t="s">
        <v>949</v>
      </c>
      <c r="I487" s="19">
        <v>173.25</v>
      </c>
      <c r="J487" s="19" t="s">
        <v>242</v>
      </c>
      <c r="K487" s="19" t="s">
        <v>18</v>
      </c>
      <c r="L487" s="19" t="s">
        <v>947</v>
      </c>
      <c r="M487" s="34">
        <f t="shared" si="48"/>
        <v>216.57459284999999</v>
      </c>
      <c r="N487" s="19" t="s">
        <v>947</v>
      </c>
      <c r="O487" s="34">
        <v>216.57810000000001</v>
      </c>
      <c r="P487" s="34">
        <f t="shared" si="49"/>
        <v>3.5071500000185551E-3</v>
      </c>
      <c r="Q487" s="21">
        <f t="shared" si="51"/>
        <v>216.57459284999999</v>
      </c>
    </row>
    <row r="488" spans="1:17" x14ac:dyDescent="0.25">
      <c r="A488" s="18" t="s">
        <v>950</v>
      </c>
      <c r="B488" s="19" t="s">
        <v>1597</v>
      </c>
      <c r="C488" s="28">
        <v>2.7</v>
      </c>
      <c r="D488" s="19" t="s">
        <v>13</v>
      </c>
      <c r="E488" s="19" t="s">
        <v>14</v>
      </c>
      <c r="F488" s="19" t="s">
        <v>33</v>
      </c>
      <c r="G488" s="19" t="s">
        <v>34</v>
      </c>
      <c r="H488" s="19" t="s">
        <v>392</v>
      </c>
      <c r="I488" s="19">
        <v>2.63</v>
      </c>
      <c r="J488" s="19" t="s">
        <v>13</v>
      </c>
      <c r="K488" s="19" t="s">
        <v>18</v>
      </c>
      <c r="L488" s="19" t="s">
        <v>950</v>
      </c>
      <c r="M488" s="34">
        <f t="shared" si="48"/>
        <v>3.2768820000000001</v>
      </c>
      <c r="N488" s="19">
        <v>0</v>
      </c>
      <c r="O488" s="34">
        <v>0</v>
      </c>
      <c r="P488" s="34">
        <f t="shared" si="49"/>
        <v>-3.2768820000000001</v>
      </c>
      <c r="Q488" s="21">
        <f t="shared" si="51"/>
        <v>3.2768820000000001</v>
      </c>
    </row>
    <row r="489" spans="1:17" x14ac:dyDescent="0.25">
      <c r="A489" s="18" t="s">
        <v>952</v>
      </c>
      <c r="B489" s="19" t="s">
        <v>1598</v>
      </c>
      <c r="C489" s="28">
        <v>0.9</v>
      </c>
      <c r="D489" s="19" t="s">
        <v>13</v>
      </c>
      <c r="E489" s="19" t="s">
        <v>14</v>
      </c>
      <c r="F489" s="19" t="s">
        <v>33</v>
      </c>
      <c r="G489" s="19" t="s">
        <v>34</v>
      </c>
      <c r="H489" s="19" t="s">
        <v>392</v>
      </c>
      <c r="I489" s="19">
        <v>0.87</v>
      </c>
      <c r="J489" s="19" t="s">
        <v>13</v>
      </c>
      <c r="K489" s="19" t="s">
        <v>18</v>
      </c>
      <c r="L489" s="19" t="s">
        <v>952</v>
      </c>
      <c r="M489" s="34">
        <f t="shared" si="48"/>
        <v>1.0922940000000001</v>
      </c>
      <c r="N489" s="19">
        <v>0</v>
      </c>
      <c r="O489" s="34">
        <v>0</v>
      </c>
      <c r="P489" s="34">
        <f t="shared" si="49"/>
        <v>-1.0922940000000001</v>
      </c>
      <c r="Q489" s="21">
        <f t="shared" si="51"/>
        <v>1.0922940000000001</v>
      </c>
    </row>
    <row r="490" spans="1:17" x14ac:dyDescent="0.25">
      <c r="A490" s="18" t="s">
        <v>954</v>
      </c>
      <c r="B490" s="19" t="s">
        <v>1599</v>
      </c>
      <c r="C490" s="28">
        <v>40.56</v>
      </c>
      <c r="D490" s="19" t="s">
        <v>191</v>
      </c>
      <c r="E490" s="19" t="s">
        <v>14</v>
      </c>
      <c r="F490" s="19" t="s">
        <v>33</v>
      </c>
      <c r="G490" s="19" t="s">
        <v>34</v>
      </c>
      <c r="H490" s="19" t="s">
        <v>392</v>
      </c>
      <c r="I490" s="19">
        <v>39.380000000000003</v>
      </c>
      <c r="J490" s="19" t="s">
        <v>191</v>
      </c>
      <c r="K490" s="19" t="s">
        <v>18</v>
      </c>
      <c r="L490" s="19" t="s">
        <v>954</v>
      </c>
      <c r="M490" s="34">
        <f t="shared" si="48"/>
        <v>49.226049600000003</v>
      </c>
      <c r="N490" s="19">
        <v>0</v>
      </c>
      <c r="O490" s="34">
        <v>0</v>
      </c>
      <c r="P490" s="34">
        <f t="shared" si="49"/>
        <v>-49.226049600000003</v>
      </c>
      <c r="Q490" s="21">
        <f t="shared" si="51"/>
        <v>49.226049600000003</v>
      </c>
    </row>
    <row r="491" spans="1:17" x14ac:dyDescent="0.25">
      <c r="A491" s="18" t="s">
        <v>956</v>
      </c>
      <c r="B491" s="19" t="s">
        <v>1600</v>
      </c>
      <c r="C491" s="28">
        <v>206</v>
      </c>
      <c r="D491" s="19" t="s">
        <v>32</v>
      </c>
      <c r="E491" s="19" t="s">
        <v>14</v>
      </c>
      <c r="F491" s="19" t="s">
        <v>33</v>
      </c>
      <c r="G491" s="19" t="s">
        <v>34</v>
      </c>
      <c r="H491" s="19" t="s">
        <v>35</v>
      </c>
      <c r="I491" s="19">
        <v>140</v>
      </c>
      <c r="J491" s="19" t="s">
        <v>32</v>
      </c>
      <c r="K491" s="19" t="s">
        <v>18</v>
      </c>
      <c r="L491" s="19" t="s">
        <v>956</v>
      </c>
      <c r="M491" s="34">
        <f t="shared" si="48"/>
        <v>250.01396</v>
      </c>
      <c r="N491" s="19">
        <v>0</v>
      </c>
      <c r="O491" s="34">
        <v>0</v>
      </c>
      <c r="P491" s="34">
        <f t="shared" si="49"/>
        <v>-250.01396</v>
      </c>
      <c r="Q491" s="21">
        <f t="shared" si="51"/>
        <v>250.01396</v>
      </c>
    </row>
    <row r="492" spans="1:17" x14ac:dyDescent="0.25">
      <c r="A492" s="18" t="s">
        <v>958</v>
      </c>
      <c r="B492" s="19" t="s">
        <v>1601</v>
      </c>
      <c r="C492" s="28">
        <v>27</v>
      </c>
      <c r="D492" s="19" t="s">
        <v>32</v>
      </c>
      <c r="E492" s="19"/>
      <c r="F492" s="19" t="s">
        <v>33</v>
      </c>
      <c r="G492" s="19" t="s">
        <v>34</v>
      </c>
      <c r="H492" s="19" t="s">
        <v>35</v>
      </c>
      <c r="I492" s="19">
        <v>26.25</v>
      </c>
      <c r="J492" s="19" t="s">
        <v>32</v>
      </c>
      <c r="K492" s="19" t="s">
        <v>18</v>
      </c>
      <c r="L492" s="19" t="s">
        <v>958</v>
      </c>
      <c r="M492" s="34">
        <f t="shared" si="48"/>
        <v>32.768819999999998</v>
      </c>
      <c r="N492" s="19">
        <v>0</v>
      </c>
      <c r="O492" s="34">
        <v>0</v>
      </c>
      <c r="P492" s="34">
        <f t="shared" si="49"/>
        <v>-32.768819999999998</v>
      </c>
      <c r="Q492" s="21">
        <f t="shared" si="51"/>
        <v>32.768819999999998</v>
      </c>
    </row>
    <row r="493" spans="1:17" x14ac:dyDescent="0.25">
      <c r="A493" s="18" t="s">
        <v>960</v>
      </c>
      <c r="B493" s="19" t="s">
        <v>1602</v>
      </c>
      <c r="C493" s="28">
        <v>211</v>
      </c>
      <c r="D493" s="19" t="s">
        <v>32</v>
      </c>
      <c r="E493" s="19"/>
      <c r="F493" s="19" t="s">
        <v>33</v>
      </c>
      <c r="G493" s="19" t="s">
        <v>34</v>
      </c>
      <c r="H493" s="19" t="s">
        <v>35</v>
      </c>
      <c r="I493" s="19">
        <v>204.75</v>
      </c>
      <c r="J493" s="19" t="s">
        <v>32</v>
      </c>
      <c r="K493" s="19" t="s">
        <v>18</v>
      </c>
      <c r="L493" s="19" t="s">
        <v>960</v>
      </c>
      <c r="M493" s="34">
        <f t="shared" si="48"/>
        <v>256.08226000000002</v>
      </c>
      <c r="N493" s="19">
        <v>0</v>
      </c>
      <c r="O493" s="34">
        <v>0</v>
      </c>
      <c r="P493" s="34">
        <f t="shared" si="49"/>
        <v>-256.08226000000002</v>
      </c>
      <c r="Q493" s="21">
        <f t="shared" si="51"/>
        <v>256.08226000000002</v>
      </c>
    </row>
    <row r="494" spans="1:17" x14ac:dyDescent="0.25">
      <c r="A494" s="18" t="s">
        <v>962</v>
      </c>
      <c r="B494" s="19" t="s">
        <v>1603</v>
      </c>
      <c r="C494" s="28">
        <f>I494*3%+I494</f>
        <v>81.112499999999997</v>
      </c>
      <c r="D494" s="19" t="s">
        <v>32</v>
      </c>
      <c r="E494" s="19" t="s">
        <v>158</v>
      </c>
      <c r="F494" s="19" t="s">
        <v>159</v>
      </c>
      <c r="G494" s="19" t="s">
        <v>160</v>
      </c>
      <c r="H494" s="19" t="s">
        <v>161</v>
      </c>
      <c r="I494" s="19">
        <v>78.75</v>
      </c>
      <c r="J494" s="19" t="s">
        <v>32</v>
      </c>
      <c r="K494" s="19" t="s">
        <v>18</v>
      </c>
      <c r="L494" s="19" t="s">
        <v>962</v>
      </c>
      <c r="M494" s="34">
        <f t="shared" si="48"/>
        <v>98.442996749999992</v>
      </c>
      <c r="N494" s="19">
        <v>0</v>
      </c>
      <c r="O494" s="34">
        <v>0</v>
      </c>
      <c r="P494" s="34">
        <f t="shared" si="49"/>
        <v>-98.442996749999992</v>
      </c>
      <c r="Q494" s="21">
        <f t="shared" si="51"/>
        <v>98.442996749999992</v>
      </c>
    </row>
    <row r="495" spans="1:17" x14ac:dyDescent="0.25">
      <c r="A495" s="18" t="s">
        <v>964</v>
      </c>
      <c r="B495" s="19" t="s">
        <v>1604</v>
      </c>
      <c r="C495" s="28">
        <v>39.65</v>
      </c>
      <c r="D495" s="19" t="s">
        <v>966</v>
      </c>
      <c r="E495" s="19" t="s">
        <v>14</v>
      </c>
      <c r="F495" s="19" t="s">
        <v>33</v>
      </c>
      <c r="G495" s="19" t="s">
        <v>34</v>
      </c>
      <c r="H495" s="19" t="s">
        <v>180</v>
      </c>
      <c r="I495" s="19">
        <v>38.49</v>
      </c>
      <c r="J495" s="19" t="s">
        <v>966</v>
      </c>
      <c r="K495" s="19" t="s">
        <v>18</v>
      </c>
      <c r="L495" s="19" t="s">
        <v>964</v>
      </c>
      <c r="M495" s="34">
        <f t="shared" si="48"/>
        <v>48.121618999999995</v>
      </c>
      <c r="N495" s="19">
        <v>0</v>
      </c>
      <c r="O495" s="34">
        <v>0</v>
      </c>
      <c r="P495" s="34">
        <f t="shared" si="49"/>
        <v>-48.121618999999995</v>
      </c>
      <c r="Q495" s="21">
        <f t="shared" si="51"/>
        <v>48.121618999999995</v>
      </c>
    </row>
    <row r="496" spans="1:17" x14ac:dyDescent="0.25">
      <c r="A496" s="18" t="s">
        <v>967</v>
      </c>
      <c r="B496" s="19" t="s">
        <v>1605</v>
      </c>
      <c r="C496" s="28">
        <v>46.88</v>
      </c>
      <c r="D496" s="19" t="s">
        <v>191</v>
      </c>
      <c r="E496" s="19" t="s">
        <v>14</v>
      </c>
      <c r="F496" s="19" t="s">
        <v>33</v>
      </c>
      <c r="G496" s="19" t="s">
        <v>34</v>
      </c>
      <c r="H496" s="19" t="s">
        <v>180</v>
      </c>
      <c r="I496" s="19">
        <v>45.51</v>
      </c>
      <c r="J496" s="19" t="s">
        <v>191</v>
      </c>
      <c r="K496" s="19" t="s">
        <v>18</v>
      </c>
      <c r="L496" s="19" t="s">
        <v>967</v>
      </c>
      <c r="M496" s="34">
        <f t="shared" si="48"/>
        <v>56.896380800000003</v>
      </c>
      <c r="N496" s="19">
        <v>0</v>
      </c>
      <c r="O496" s="34">
        <v>0</v>
      </c>
      <c r="P496" s="34">
        <f t="shared" si="49"/>
        <v>-56.896380800000003</v>
      </c>
      <c r="Q496" s="21">
        <f t="shared" si="51"/>
        <v>56.896380800000003</v>
      </c>
    </row>
    <row r="497" spans="1:17" x14ac:dyDescent="0.25">
      <c r="A497" s="18" t="s">
        <v>969</v>
      </c>
      <c r="B497" s="19" t="s">
        <v>1606</v>
      </c>
      <c r="C497" s="28">
        <v>96.18</v>
      </c>
      <c r="D497" s="19" t="s">
        <v>242</v>
      </c>
      <c r="E497" s="19" t="s">
        <v>23</v>
      </c>
      <c r="F497" s="19" t="s">
        <v>49</v>
      </c>
      <c r="G497" s="19" t="s">
        <v>50</v>
      </c>
      <c r="H497" s="19" t="s">
        <v>50</v>
      </c>
      <c r="I497" s="19">
        <v>75.599999999999994</v>
      </c>
      <c r="J497" s="19" t="s">
        <v>242</v>
      </c>
      <c r="K497" s="19" t="s">
        <v>18</v>
      </c>
      <c r="L497" s="19" t="s">
        <v>969</v>
      </c>
      <c r="M497" s="34">
        <f t="shared" ref="M497:M560" si="53">C497*1.21366</f>
        <v>116.7298188</v>
      </c>
      <c r="N497" s="19" t="s">
        <v>969</v>
      </c>
      <c r="O497" s="34">
        <v>94.502499999999998</v>
      </c>
      <c r="P497" s="34">
        <f t="shared" ref="P497:P560" si="54">O497-M497</f>
        <v>-22.227318800000006</v>
      </c>
      <c r="Q497" s="21">
        <f t="shared" si="51"/>
        <v>116.7298188</v>
      </c>
    </row>
    <row r="498" spans="1:17" x14ac:dyDescent="0.25">
      <c r="A498" s="18" t="s">
        <v>971</v>
      </c>
      <c r="B498" s="19" t="s">
        <v>1607</v>
      </c>
      <c r="C498" s="28">
        <v>55.35</v>
      </c>
      <c r="D498" s="19" t="s">
        <v>13</v>
      </c>
      <c r="E498" s="19" t="s">
        <v>23</v>
      </c>
      <c r="F498" s="19" t="s">
        <v>49</v>
      </c>
      <c r="G498" s="19" t="s">
        <v>50</v>
      </c>
      <c r="H498" s="19" t="s">
        <v>50</v>
      </c>
      <c r="I498" s="19">
        <v>46.98</v>
      </c>
      <c r="J498" s="19" t="s">
        <v>13</v>
      </c>
      <c r="K498" s="19" t="s">
        <v>18</v>
      </c>
      <c r="L498" s="19" t="s">
        <v>971</v>
      </c>
      <c r="M498" s="34">
        <f t="shared" si="53"/>
        <v>67.176080999999996</v>
      </c>
      <c r="N498" s="19" t="s">
        <v>971</v>
      </c>
      <c r="O498" s="34">
        <v>58.730600000000003</v>
      </c>
      <c r="P498" s="34">
        <f t="shared" si="54"/>
        <v>-8.4454809999999938</v>
      </c>
      <c r="Q498" s="21">
        <f t="shared" si="51"/>
        <v>67.176080999999996</v>
      </c>
    </row>
    <row r="499" spans="1:17" x14ac:dyDescent="0.25">
      <c r="A499" s="18" t="s">
        <v>973</v>
      </c>
      <c r="B499" s="19" t="s">
        <v>1608</v>
      </c>
      <c r="C499" s="28">
        <f t="shared" ref="C499:C532" si="55">I499*3%+I499</f>
        <v>57.3504</v>
      </c>
      <c r="D499" s="19" t="s">
        <v>13</v>
      </c>
      <c r="E499" s="19" t="s">
        <v>23</v>
      </c>
      <c r="F499" s="19" t="s">
        <v>49</v>
      </c>
      <c r="G499" s="19" t="s">
        <v>50</v>
      </c>
      <c r="H499" s="19" t="s">
        <v>50</v>
      </c>
      <c r="I499" s="19">
        <v>55.68</v>
      </c>
      <c r="J499" s="19" t="s">
        <v>13</v>
      </c>
      <c r="K499" s="19" t="s">
        <v>18</v>
      </c>
      <c r="L499" s="19" t="s">
        <v>973</v>
      </c>
      <c r="M499" s="34">
        <f t="shared" si="53"/>
        <v>69.603886463999999</v>
      </c>
      <c r="N499" s="19" t="s">
        <v>973</v>
      </c>
      <c r="O499" s="34">
        <v>34.999400000000001</v>
      </c>
      <c r="P499" s="34">
        <f t="shared" si="54"/>
        <v>-34.604486463999997</v>
      </c>
      <c r="Q499" s="21">
        <f t="shared" si="51"/>
        <v>69.603886463999999</v>
      </c>
    </row>
    <row r="500" spans="1:17" x14ac:dyDescent="0.25">
      <c r="A500" s="18" t="s">
        <v>975</v>
      </c>
      <c r="B500" s="19" t="s">
        <v>1609</v>
      </c>
      <c r="C500" s="28">
        <f t="shared" si="55"/>
        <v>58.401000000000003</v>
      </c>
      <c r="D500" s="19" t="s">
        <v>13</v>
      </c>
      <c r="E500" s="19" t="s">
        <v>23</v>
      </c>
      <c r="F500" s="19" t="s">
        <v>49</v>
      </c>
      <c r="G500" s="19" t="s">
        <v>50</v>
      </c>
      <c r="H500" s="19" t="s">
        <v>50</v>
      </c>
      <c r="I500" s="19">
        <v>56.7</v>
      </c>
      <c r="J500" s="19" t="s">
        <v>13</v>
      </c>
      <c r="K500" s="19" t="s">
        <v>18</v>
      </c>
      <c r="L500" s="19" t="s">
        <v>975</v>
      </c>
      <c r="M500" s="34">
        <f t="shared" si="53"/>
        <v>70.878957659999998</v>
      </c>
      <c r="N500" s="19">
        <v>0</v>
      </c>
      <c r="O500" s="34">
        <v>0</v>
      </c>
      <c r="P500" s="34">
        <f t="shared" si="54"/>
        <v>-70.878957659999998</v>
      </c>
      <c r="Q500" s="21">
        <f t="shared" si="51"/>
        <v>70.878957659999998</v>
      </c>
    </row>
    <row r="501" spans="1:17" x14ac:dyDescent="0.25">
      <c r="A501" s="18" t="s">
        <v>977</v>
      </c>
      <c r="B501" s="19" t="s">
        <v>1610</v>
      </c>
      <c r="C501" s="28">
        <f t="shared" si="55"/>
        <v>40.664399999999993</v>
      </c>
      <c r="D501" s="19" t="s">
        <v>13</v>
      </c>
      <c r="E501" s="19" t="s">
        <v>23</v>
      </c>
      <c r="F501" s="19" t="s">
        <v>49</v>
      </c>
      <c r="G501" s="19" t="s">
        <v>50</v>
      </c>
      <c r="H501" s="19" t="s">
        <v>50</v>
      </c>
      <c r="I501" s="19">
        <v>39.479999999999997</v>
      </c>
      <c r="J501" s="19" t="s">
        <v>13</v>
      </c>
      <c r="K501" s="19" t="s">
        <v>18</v>
      </c>
      <c r="L501" s="19" t="s">
        <v>977</v>
      </c>
      <c r="M501" s="34">
        <f t="shared" si="53"/>
        <v>49.352755703999989</v>
      </c>
      <c r="N501" s="19">
        <v>0</v>
      </c>
      <c r="O501" s="34">
        <v>0</v>
      </c>
      <c r="P501" s="34">
        <f t="shared" si="54"/>
        <v>-49.352755703999989</v>
      </c>
      <c r="Q501" s="21">
        <f t="shared" si="51"/>
        <v>49.352755703999989</v>
      </c>
    </row>
    <row r="502" spans="1:17" x14ac:dyDescent="0.25">
      <c r="A502" s="18" t="s">
        <v>979</v>
      </c>
      <c r="B502" s="19" t="s">
        <v>1611</v>
      </c>
      <c r="C502" s="28">
        <v>113.32</v>
      </c>
      <c r="D502" s="19" t="s">
        <v>242</v>
      </c>
      <c r="E502" s="19"/>
      <c r="F502" s="19" t="s">
        <v>49</v>
      </c>
      <c r="G502" s="19" t="s">
        <v>50</v>
      </c>
      <c r="H502" s="19" t="s">
        <v>50</v>
      </c>
      <c r="I502" s="19">
        <v>61</v>
      </c>
      <c r="J502" s="19" t="s">
        <v>242</v>
      </c>
      <c r="K502" s="19" t="s">
        <v>18</v>
      </c>
      <c r="L502" s="19" t="s">
        <v>979</v>
      </c>
      <c r="M502" s="34">
        <f t="shared" si="53"/>
        <v>137.53195119999998</v>
      </c>
      <c r="N502" s="19">
        <v>0</v>
      </c>
      <c r="O502" s="34">
        <v>0</v>
      </c>
      <c r="P502" s="34">
        <f t="shared" si="54"/>
        <v>-137.53195119999998</v>
      </c>
      <c r="Q502" s="21">
        <f t="shared" si="51"/>
        <v>137.53195119999998</v>
      </c>
    </row>
    <row r="503" spans="1:17" x14ac:dyDescent="0.25">
      <c r="A503" s="18" t="s">
        <v>981</v>
      </c>
      <c r="B503" s="19" t="s">
        <v>1612</v>
      </c>
      <c r="C503" s="28">
        <f t="shared" si="55"/>
        <v>88.682999999999993</v>
      </c>
      <c r="D503" s="19" t="s">
        <v>13</v>
      </c>
      <c r="E503" s="19" t="s">
        <v>23</v>
      </c>
      <c r="F503" s="19" t="s">
        <v>49</v>
      </c>
      <c r="G503" s="19" t="s">
        <v>50</v>
      </c>
      <c r="H503" s="19" t="s">
        <v>50</v>
      </c>
      <c r="I503" s="19">
        <v>86.1</v>
      </c>
      <c r="J503" s="19" t="s">
        <v>13</v>
      </c>
      <c r="K503" s="19" t="s">
        <v>18</v>
      </c>
      <c r="L503" s="19" t="s">
        <v>981</v>
      </c>
      <c r="M503" s="34">
        <f t="shared" si="53"/>
        <v>107.63100977999999</v>
      </c>
      <c r="N503" s="19" t="s">
        <v>981</v>
      </c>
      <c r="O503" s="34">
        <v>107.63500000000001</v>
      </c>
      <c r="P503" s="34">
        <f t="shared" si="54"/>
        <v>3.9902200000199173E-3</v>
      </c>
      <c r="Q503" s="21">
        <f t="shared" si="51"/>
        <v>107.63100977999999</v>
      </c>
    </row>
    <row r="504" spans="1:17" x14ac:dyDescent="0.25">
      <c r="A504" s="18" t="s">
        <v>983</v>
      </c>
      <c r="B504" s="19" t="s">
        <v>1613</v>
      </c>
      <c r="C504" s="28">
        <f t="shared" si="55"/>
        <v>153.2022</v>
      </c>
      <c r="D504" s="19" t="s">
        <v>383</v>
      </c>
      <c r="E504" s="19"/>
      <c r="F504" s="19" t="s">
        <v>15</v>
      </c>
      <c r="G504" s="19" t="s">
        <v>16</v>
      </c>
      <c r="H504" s="19" t="s">
        <v>17</v>
      </c>
      <c r="I504" s="19">
        <v>148.74</v>
      </c>
      <c r="J504" s="19" t="s">
        <v>383</v>
      </c>
      <c r="K504" s="19" t="s">
        <v>18</v>
      </c>
      <c r="L504" s="19" t="s">
        <v>983</v>
      </c>
      <c r="M504" s="34">
        <f t="shared" si="53"/>
        <v>185.93538205199999</v>
      </c>
      <c r="N504" s="19" t="s">
        <v>983</v>
      </c>
      <c r="O504" s="34">
        <v>185.93559999999999</v>
      </c>
      <c r="P504" s="34">
        <f t="shared" si="54"/>
        <v>2.1794799999952374E-4</v>
      </c>
      <c r="Q504" s="21">
        <f t="shared" si="51"/>
        <v>185.93538205199999</v>
      </c>
    </row>
    <row r="505" spans="1:17" x14ac:dyDescent="0.25">
      <c r="A505" s="18" t="s">
        <v>985</v>
      </c>
      <c r="B505" s="19" t="s">
        <v>1614</v>
      </c>
      <c r="C505" s="28">
        <f t="shared" si="55"/>
        <v>135.1875</v>
      </c>
      <c r="D505" s="19" t="s">
        <v>111</v>
      </c>
      <c r="E505" s="19" t="s">
        <v>14</v>
      </c>
      <c r="F505" s="19" t="s">
        <v>15</v>
      </c>
      <c r="G505" s="19" t="s">
        <v>16</v>
      </c>
      <c r="H505" s="19" t="s">
        <v>17</v>
      </c>
      <c r="I505" s="19">
        <v>131.25</v>
      </c>
      <c r="J505" s="19" t="s">
        <v>111</v>
      </c>
      <c r="K505" s="19" t="s">
        <v>18</v>
      </c>
      <c r="L505" s="19" t="s">
        <v>985</v>
      </c>
      <c r="M505" s="34">
        <f t="shared" si="53"/>
        <v>164.07166125000001</v>
      </c>
      <c r="N505" s="19" t="s">
        <v>985</v>
      </c>
      <c r="O505" s="34">
        <v>164.06870000000001</v>
      </c>
      <c r="P505" s="34">
        <f t="shared" si="54"/>
        <v>-2.961249999998472E-3</v>
      </c>
      <c r="Q505" s="21">
        <f t="shared" si="51"/>
        <v>164.07166125000001</v>
      </c>
    </row>
    <row r="506" spans="1:17" x14ac:dyDescent="0.25">
      <c r="A506" s="18" t="s">
        <v>987</v>
      </c>
      <c r="B506" s="19" t="s">
        <v>1615</v>
      </c>
      <c r="C506" s="28">
        <f t="shared" si="55"/>
        <v>23.257399999999997</v>
      </c>
      <c r="D506" s="19" t="s">
        <v>124</v>
      </c>
      <c r="E506" s="19" t="s">
        <v>14</v>
      </c>
      <c r="F506" s="19" t="s">
        <v>15</v>
      </c>
      <c r="G506" s="19" t="s">
        <v>16</v>
      </c>
      <c r="H506" s="19" t="s">
        <v>17</v>
      </c>
      <c r="I506" s="19">
        <v>22.58</v>
      </c>
      <c r="J506" s="19" t="s">
        <v>124</v>
      </c>
      <c r="K506" s="19" t="s">
        <v>18</v>
      </c>
      <c r="L506" s="19" t="s">
        <v>987</v>
      </c>
      <c r="M506" s="34">
        <f t="shared" si="53"/>
        <v>28.226576083999994</v>
      </c>
      <c r="N506" s="19" t="s">
        <v>987</v>
      </c>
      <c r="O506" s="34">
        <v>28.222000000000001</v>
      </c>
      <c r="P506" s="34">
        <f t="shared" si="54"/>
        <v>-4.5760839999928749E-3</v>
      </c>
      <c r="Q506" s="21">
        <f t="shared" si="51"/>
        <v>28.226576083999994</v>
      </c>
    </row>
    <row r="507" spans="1:17" x14ac:dyDescent="0.25">
      <c r="A507" s="18" t="s">
        <v>989</v>
      </c>
      <c r="B507" s="19" t="s">
        <v>1616</v>
      </c>
      <c r="C507" s="28">
        <v>7.93</v>
      </c>
      <c r="D507" s="19" t="s">
        <v>124</v>
      </c>
      <c r="E507" s="19" t="s">
        <v>14</v>
      </c>
      <c r="F507" s="19" t="s">
        <v>15</v>
      </c>
      <c r="G507" s="19" t="s">
        <v>16</v>
      </c>
      <c r="H507" s="19" t="s">
        <v>17</v>
      </c>
      <c r="I507" s="19">
        <v>7</v>
      </c>
      <c r="J507" s="19" t="s">
        <v>124</v>
      </c>
      <c r="K507" s="19" t="s">
        <v>18</v>
      </c>
      <c r="L507" s="19" t="s">
        <v>989</v>
      </c>
      <c r="M507" s="34">
        <f t="shared" si="53"/>
        <v>9.6243237999999991</v>
      </c>
      <c r="N507" s="19" t="s">
        <v>989</v>
      </c>
      <c r="O507" s="34">
        <v>8.7550000000000008</v>
      </c>
      <c r="P507" s="34">
        <f t="shared" si="54"/>
        <v>-0.86932379999999831</v>
      </c>
      <c r="Q507" s="21">
        <f t="shared" si="51"/>
        <v>9.6243237999999991</v>
      </c>
    </row>
    <row r="508" spans="1:17" x14ac:dyDescent="0.25">
      <c r="A508" s="18" t="s">
        <v>991</v>
      </c>
      <c r="B508" s="19" t="s">
        <v>1617</v>
      </c>
      <c r="C508" s="28">
        <f t="shared" si="55"/>
        <v>23.257399999999997</v>
      </c>
      <c r="D508" s="19" t="s">
        <v>966</v>
      </c>
      <c r="E508" s="19" t="s">
        <v>14</v>
      </c>
      <c r="F508" s="19" t="s">
        <v>15</v>
      </c>
      <c r="G508" s="19" t="s">
        <v>16</v>
      </c>
      <c r="H508" s="19" t="s">
        <v>17</v>
      </c>
      <c r="I508" s="19">
        <v>22.58</v>
      </c>
      <c r="J508" s="19" t="s">
        <v>966</v>
      </c>
      <c r="K508" s="19" t="s">
        <v>18</v>
      </c>
      <c r="L508" s="19" t="s">
        <v>991</v>
      </c>
      <c r="M508" s="34">
        <f t="shared" si="53"/>
        <v>28.226576083999994</v>
      </c>
      <c r="N508" s="19">
        <v>0</v>
      </c>
      <c r="O508" s="34">
        <v>0</v>
      </c>
      <c r="P508" s="34">
        <f t="shared" si="54"/>
        <v>-28.226576083999994</v>
      </c>
      <c r="Q508" s="21">
        <f t="shared" si="51"/>
        <v>28.226576083999994</v>
      </c>
    </row>
    <row r="509" spans="1:17" x14ac:dyDescent="0.25">
      <c r="A509" s="18" t="s">
        <v>993</v>
      </c>
      <c r="B509" s="19" t="s">
        <v>1618</v>
      </c>
      <c r="C509" s="28">
        <f t="shared" si="55"/>
        <v>251.69080000000002</v>
      </c>
      <c r="D509" s="19" t="s">
        <v>242</v>
      </c>
      <c r="E509" s="19" t="s">
        <v>14</v>
      </c>
      <c r="F509" s="19" t="s">
        <v>15</v>
      </c>
      <c r="G509" s="19" t="s">
        <v>16</v>
      </c>
      <c r="H509" s="19" t="s">
        <v>17</v>
      </c>
      <c r="I509" s="19">
        <v>244.36</v>
      </c>
      <c r="J509" s="19" t="s">
        <v>242</v>
      </c>
      <c r="K509" s="19" t="s">
        <v>18</v>
      </c>
      <c r="L509" s="19" t="s">
        <v>993</v>
      </c>
      <c r="M509" s="34">
        <f t="shared" si="53"/>
        <v>305.46705632800001</v>
      </c>
      <c r="N509" s="19">
        <v>0</v>
      </c>
      <c r="O509" s="34">
        <v>0</v>
      </c>
      <c r="P509" s="34">
        <f t="shared" si="54"/>
        <v>-305.46705632800001</v>
      </c>
      <c r="Q509" s="21">
        <f t="shared" si="51"/>
        <v>305.46705632800001</v>
      </c>
    </row>
    <row r="510" spans="1:17" x14ac:dyDescent="0.25">
      <c r="A510" s="18" t="s">
        <v>995</v>
      </c>
      <c r="B510" s="19" t="s">
        <v>1619</v>
      </c>
      <c r="C510" s="28">
        <f t="shared" si="55"/>
        <v>102.0112</v>
      </c>
      <c r="D510" s="19" t="s">
        <v>242</v>
      </c>
      <c r="E510" s="19" t="s">
        <v>14</v>
      </c>
      <c r="F510" s="19" t="s">
        <v>15</v>
      </c>
      <c r="G510" s="19" t="s">
        <v>16</v>
      </c>
      <c r="H510" s="19" t="s">
        <v>17</v>
      </c>
      <c r="I510" s="19">
        <v>99.04</v>
      </c>
      <c r="J510" s="19" t="s">
        <v>242</v>
      </c>
      <c r="K510" s="19" t="s">
        <v>18</v>
      </c>
      <c r="L510" s="19" t="s">
        <v>995</v>
      </c>
      <c r="M510" s="34">
        <f t="shared" si="53"/>
        <v>123.80691299199999</v>
      </c>
      <c r="N510" s="19" t="s">
        <v>995</v>
      </c>
      <c r="O510" s="34">
        <v>123.806</v>
      </c>
      <c r="P510" s="34">
        <f t="shared" si="54"/>
        <v>-9.1299199999639313E-4</v>
      </c>
      <c r="Q510" s="21">
        <f t="shared" si="51"/>
        <v>123.80691299199999</v>
      </c>
    </row>
    <row r="511" spans="1:17" x14ac:dyDescent="0.25">
      <c r="A511" s="18" t="s">
        <v>997</v>
      </c>
      <c r="B511" s="19" t="s">
        <v>1620</v>
      </c>
      <c r="C511" s="28">
        <f t="shared" si="55"/>
        <v>79.495400000000004</v>
      </c>
      <c r="D511" s="19" t="s">
        <v>13</v>
      </c>
      <c r="E511" s="19" t="s">
        <v>23</v>
      </c>
      <c r="F511" s="19" t="s">
        <v>49</v>
      </c>
      <c r="G511" s="19" t="s">
        <v>50</v>
      </c>
      <c r="H511" s="19" t="s">
        <v>50</v>
      </c>
      <c r="I511" s="19">
        <v>77.180000000000007</v>
      </c>
      <c r="J511" s="19" t="s">
        <v>13</v>
      </c>
      <c r="K511" s="19" t="s">
        <v>18</v>
      </c>
      <c r="L511" s="19" t="s">
        <v>997</v>
      </c>
      <c r="M511" s="34">
        <f t="shared" si="53"/>
        <v>96.480387164000007</v>
      </c>
      <c r="N511" s="19" t="s">
        <v>997</v>
      </c>
      <c r="O511" s="34">
        <v>96.480099999999993</v>
      </c>
      <c r="P511" s="34">
        <f t="shared" si="54"/>
        <v>-2.8716400001371767E-4</v>
      </c>
      <c r="Q511" s="21">
        <f t="shared" si="51"/>
        <v>96.480387164000007</v>
      </c>
    </row>
    <row r="512" spans="1:17" x14ac:dyDescent="0.25">
      <c r="A512" s="18">
        <v>76701003006</v>
      </c>
      <c r="B512" s="19" t="s">
        <v>1621</v>
      </c>
      <c r="C512" s="28">
        <f t="shared" si="55"/>
        <v>178.3330464</v>
      </c>
      <c r="D512" s="19" t="s">
        <v>13</v>
      </c>
      <c r="E512" s="19" t="s">
        <v>14</v>
      </c>
      <c r="F512" s="19" t="s">
        <v>33</v>
      </c>
      <c r="G512" s="19" t="s">
        <v>34</v>
      </c>
      <c r="H512" s="19" t="s">
        <v>517</v>
      </c>
      <c r="I512" s="19">
        <v>173.13888</v>
      </c>
      <c r="J512" s="19" t="s">
        <v>383</v>
      </c>
      <c r="K512" s="19" t="s">
        <v>18</v>
      </c>
      <c r="L512" s="19">
        <v>0</v>
      </c>
      <c r="M512" s="34">
        <f t="shared" si="53"/>
        <v>216.43568509382399</v>
      </c>
      <c r="N512" s="19">
        <v>0</v>
      </c>
      <c r="O512" s="34">
        <v>0</v>
      </c>
      <c r="P512" s="34">
        <f t="shared" si="54"/>
        <v>-216.43568509382399</v>
      </c>
      <c r="Q512" s="21">
        <f t="shared" si="51"/>
        <v>216.43568509382399</v>
      </c>
    </row>
    <row r="513" spans="1:17" x14ac:dyDescent="0.25">
      <c r="A513" s="18">
        <v>76701003005</v>
      </c>
      <c r="B513" s="19" t="s">
        <v>1622</v>
      </c>
      <c r="C513" s="28">
        <f t="shared" si="55"/>
        <v>0</v>
      </c>
      <c r="D513" s="19" t="s">
        <v>13</v>
      </c>
      <c r="E513" s="19" t="s">
        <v>14</v>
      </c>
      <c r="F513" s="19" t="s">
        <v>33</v>
      </c>
      <c r="G513" s="19" t="s">
        <v>34</v>
      </c>
      <c r="H513" s="19" t="s">
        <v>517</v>
      </c>
      <c r="I513" s="19"/>
      <c r="J513" s="19" t="s">
        <v>13</v>
      </c>
      <c r="K513" s="19" t="s">
        <v>18</v>
      </c>
      <c r="L513" s="19">
        <v>0</v>
      </c>
      <c r="M513" s="34">
        <f t="shared" si="53"/>
        <v>0</v>
      </c>
      <c r="N513" s="19">
        <v>0</v>
      </c>
      <c r="O513" s="34">
        <v>0</v>
      </c>
      <c r="P513" s="34">
        <f t="shared" si="54"/>
        <v>0</v>
      </c>
      <c r="Q513" s="21">
        <f t="shared" si="51"/>
        <v>0</v>
      </c>
    </row>
    <row r="514" spans="1:17" x14ac:dyDescent="0.25">
      <c r="A514" s="18">
        <v>76701005006</v>
      </c>
      <c r="B514" s="19" t="s">
        <v>1623</v>
      </c>
      <c r="C514" s="28">
        <f t="shared" si="55"/>
        <v>0</v>
      </c>
      <c r="D514" s="19" t="s">
        <v>191</v>
      </c>
      <c r="E514" s="19" t="s">
        <v>14</v>
      </c>
      <c r="F514" s="19" t="s">
        <v>33</v>
      </c>
      <c r="G514" s="19" t="s">
        <v>34</v>
      </c>
      <c r="H514" s="19" t="s">
        <v>517</v>
      </c>
      <c r="I514" s="19"/>
      <c r="J514" s="19" t="s">
        <v>379</v>
      </c>
      <c r="K514" s="19" t="s">
        <v>18</v>
      </c>
      <c r="L514" s="19">
        <v>0</v>
      </c>
      <c r="M514" s="34">
        <f t="shared" si="53"/>
        <v>0</v>
      </c>
      <c r="N514" s="19">
        <v>0</v>
      </c>
      <c r="O514" s="34">
        <v>0</v>
      </c>
      <c r="P514" s="34">
        <f t="shared" si="54"/>
        <v>0</v>
      </c>
      <c r="Q514" s="21">
        <f t="shared" si="51"/>
        <v>0</v>
      </c>
    </row>
    <row r="515" spans="1:17" x14ac:dyDescent="0.25">
      <c r="A515" s="18">
        <v>76701002023</v>
      </c>
      <c r="B515" s="19" t="s">
        <v>1624</v>
      </c>
      <c r="C515" s="28">
        <f t="shared" si="55"/>
        <v>12.0155165</v>
      </c>
      <c r="D515" s="19" t="s">
        <v>191</v>
      </c>
      <c r="E515" s="19" t="s">
        <v>14</v>
      </c>
      <c r="F515" s="19" t="s">
        <v>33</v>
      </c>
      <c r="G515" s="19" t="s">
        <v>34</v>
      </c>
      <c r="H515" s="19" t="s">
        <v>517</v>
      </c>
      <c r="I515" s="19">
        <v>11.66555</v>
      </c>
      <c r="J515" s="19" t="s">
        <v>379</v>
      </c>
      <c r="K515" s="19" t="s">
        <v>18</v>
      </c>
      <c r="L515" s="19">
        <v>0</v>
      </c>
      <c r="M515" s="34">
        <f t="shared" si="53"/>
        <v>14.582751755389999</v>
      </c>
      <c r="N515" s="19">
        <v>0</v>
      </c>
      <c r="O515" s="34">
        <v>0</v>
      </c>
      <c r="P515" s="34">
        <f t="shared" si="54"/>
        <v>-14.582751755389999</v>
      </c>
      <c r="Q515" s="21">
        <f t="shared" si="51"/>
        <v>14.582751755389999</v>
      </c>
    </row>
    <row r="516" spans="1:17" x14ac:dyDescent="0.25">
      <c r="A516" s="18">
        <v>76701003007</v>
      </c>
      <c r="B516" s="19" t="s">
        <v>1625</v>
      </c>
      <c r="C516" s="28">
        <f t="shared" si="55"/>
        <v>2249.6023999999998</v>
      </c>
      <c r="D516" s="19" t="s">
        <v>383</v>
      </c>
      <c r="E516" s="19" t="s">
        <v>14</v>
      </c>
      <c r="F516" s="19" t="s">
        <v>33</v>
      </c>
      <c r="G516" s="19" t="s">
        <v>34</v>
      </c>
      <c r="H516" s="19" t="s">
        <v>517</v>
      </c>
      <c r="I516" s="19">
        <v>2184.08</v>
      </c>
      <c r="J516" s="19" t="s">
        <v>13</v>
      </c>
      <c r="K516" s="19" t="s">
        <v>18</v>
      </c>
      <c r="L516" s="19">
        <v>0</v>
      </c>
      <c r="M516" s="34">
        <f t="shared" si="53"/>
        <v>2730.2524487839996</v>
      </c>
      <c r="N516" s="19">
        <v>0</v>
      </c>
      <c r="O516" s="34">
        <v>0</v>
      </c>
      <c r="P516" s="34">
        <f t="shared" si="54"/>
        <v>-2730.2524487839996</v>
      </c>
      <c r="Q516" s="21">
        <f t="shared" si="51"/>
        <v>2730.2524487839996</v>
      </c>
    </row>
    <row r="517" spans="1:17" x14ac:dyDescent="0.25">
      <c r="A517" s="18">
        <v>76701005024</v>
      </c>
      <c r="B517" s="19" t="s">
        <v>1626</v>
      </c>
      <c r="C517" s="28">
        <f t="shared" si="55"/>
        <v>0</v>
      </c>
      <c r="D517" s="19" t="s">
        <v>191</v>
      </c>
      <c r="E517" s="19" t="s">
        <v>14</v>
      </c>
      <c r="F517" s="19" t="s">
        <v>33</v>
      </c>
      <c r="G517" s="19" t="s">
        <v>34</v>
      </c>
      <c r="H517" s="19" t="s">
        <v>517</v>
      </c>
      <c r="I517" s="19"/>
      <c r="J517" s="19" t="s">
        <v>379</v>
      </c>
      <c r="K517" s="19" t="s">
        <v>18</v>
      </c>
      <c r="L517" s="19">
        <v>0</v>
      </c>
      <c r="M517" s="34">
        <f t="shared" si="53"/>
        <v>0</v>
      </c>
      <c r="N517" s="19">
        <v>0</v>
      </c>
      <c r="O517" s="34">
        <v>0</v>
      </c>
      <c r="P517" s="34">
        <f t="shared" si="54"/>
        <v>0</v>
      </c>
      <c r="Q517" s="21">
        <f t="shared" si="51"/>
        <v>0</v>
      </c>
    </row>
    <row r="518" spans="1:17" x14ac:dyDescent="0.25">
      <c r="A518" s="18">
        <v>76701003009</v>
      </c>
      <c r="B518" s="19" t="s">
        <v>1627</v>
      </c>
      <c r="C518" s="28">
        <f t="shared" si="55"/>
        <v>2249.6023999999998</v>
      </c>
      <c r="D518" s="19" t="s">
        <v>383</v>
      </c>
      <c r="E518" s="19" t="s">
        <v>14</v>
      </c>
      <c r="F518" s="19" t="s">
        <v>33</v>
      </c>
      <c r="G518" s="19" t="s">
        <v>34</v>
      </c>
      <c r="H518" s="19" t="s">
        <v>517</v>
      </c>
      <c r="I518" s="19">
        <v>2184.08</v>
      </c>
      <c r="J518" s="19" t="s">
        <v>13</v>
      </c>
      <c r="K518" s="19" t="s">
        <v>18</v>
      </c>
      <c r="L518" s="19">
        <v>0</v>
      </c>
      <c r="M518" s="34">
        <f t="shared" si="53"/>
        <v>2730.2524487839996</v>
      </c>
      <c r="N518" s="19">
        <v>0</v>
      </c>
      <c r="O518" s="34">
        <v>0</v>
      </c>
      <c r="P518" s="34">
        <f t="shared" si="54"/>
        <v>-2730.2524487839996</v>
      </c>
      <c r="Q518" s="21">
        <f t="shared" si="51"/>
        <v>2730.2524487839996</v>
      </c>
    </row>
    <row r="519" spans="1:17" x14ac:dyDescent="0.25">
      <c r="A519" s="18">
        <v>76701007005</v>
      </c>
      <c r="B519" s="19" t="s">
        <v>1628</v>
      </c>
      <c r="C519" s="28">
        <f t="shared" si="55"/>
        <v>3.0987550000000001</v>
      </c>
      <c r="D519" s="19" t="s">
        <v>191</v>
      </c>
      <c r="E519" s="19" t="s">
        <v>14</v>
      </c>
      <c r="F519" s="19" t="s">
        <v>33</v>
      </c>
      <c r="G519" s="19" t="s">
        <v>34</v>
      </c>
      <c r="H519" s="19" t="s">
        <v>517</v>
      </c>
      <c r="I519" s="19">
        <v>3.0085000000000002</v>
      </c>
      <c r="J519" s="19" t="s">
        <v>379</v>
      </c>
      <c r="K519" s="19" t="s">
        <v>18</v>
      </c>
      <c r="L519" s="19">
        <v>0</v>
      </c>
      <c r="M519" s="34">
        <f t="shared" si="53"/>
        <v>3.7608349933</v>
      </c>
      <c r="N519" s="19">
        <v>0</v>
      </c>
      <c r="O519" s="34">
        <v>0</v>
      </c>
      <c r="P519" s="34">
        <f t="shared" si="54"/>
        <v>-3.7608349933</v>
      </c>
      <c r="Q519" s="21">
        <f t="shared" si="51"/>
        <v>3.7608349933</v>
      </c>
    </row>
    <row r="520" spans="1:17" x14ac:dyDescent="0.25">
      <c r="A520" s="18">
        <v>76701080004</v>
      </c>
      <c r="B520" s="19" t="s">
        <v>1629</v>
      </c>
      <c r="C520" s="28">
        <f t="shared" si="55"/>
        <v>379.24599999999998</v>
      </c>
      <c r="D520" s="19" t="s">
        <v>191</v>
      </c>
      <c r="E520" s="19"/>
      <c r="F520" s="19" t="s">
        <v>33</v>
      </c>
      <c r="G520" s="19" t="s">
        <v>34</v>
      </c>
      <c r="H520" s="19" t="s">
        <v>517</v>
      </c>
      <c r="I520" s="19">
        <v>368.2</v>
      </c>
      <c r="J520" s="19" t="s">
        <v>191</v>
      </c>
      <c r="K520" s="19" t="s">
        <v>18</v>
      </c>
      <c r="L520" s="19">
        <v>0</v>
      </c>
      <c r="M520" s="34">
        <f t="shared" si="53"/>
        <v>460.27570035999997</v>
      </c>
      <c r="N520" s="19">
        <v>0</v>
      </c>
      <c r="O520" s="34">
        <v>0</v>
      </c>
      <c r="P520" s="34">
        <f t="shared" si="54"/>
        <v>-460.27570035999997</v>
      </c>
      <c r="Q520" s="21">
        <f t="shared" ref="Q520:Q576" si="56">C520*1.21366</f>
        <v>460.27570035999997</v>
      </c>
    </row>
    <row r="521" spans="1:17" x14ac:dyDescent="0.25">
      <c r="A521" s="18">
        <v>76701080005</v>
      </c>
      <c r="B521" s="19" t="s">
        <v>1630</v>
      </c>
      <c r="C521" s="28">
        <f t="shared" si="55"/>
        <v>19.5288</v>
      </c>
      <c r="D521" s="19" t="s">
        <v>191</v>
      </c>
      <c r="E521" s="19" t="s">
        <v>14</v>
      </c>
      <c r="F521" s="19" t="s">
        <v>33</v>
      </c>
      <c r="G521" s="19" t="s">
        <v>34</v>
      </c>
      <c r="H521" s="19" t="s">
        <v>517</v>
      </c>
      <c r="I521" s="19">
        <v>18.96</v>
      </c>
      <c r="J521" s="19" t="s">
        <v>379</v>
      </c>
      <c r="K521" s="19" t="s">
        <v>18</v>
      </c>
      <c r="L521" s="19">
        <v>0</v>
      </c>
      <c r="M521" s="34">
        <f t="shared" si="53"/>
        <v>23.701323408</v>
      </c>
      <c r="N521" s="19">
        <v>0</v>
      </c>
      <c r="O521" s="34">
        <v>0</v>
      </c>
      <c r="P521" s="34">
        <f t="shared" si="54"/>
        <v>-23.701323408</v>
      </c>
      <c r="Q521" s="21">
        <f t="shared" si="56"/>
        <v>23.701323408</v>
      </c>
    </row>
    <row r="522" spans="1:17" x14ac:dyDescent="0.25">
      <c r="A522" s="18">
        <v>76701091008</v>
      </c>
      <c r="B522" s="19" t="s">
        <v>1631</v>
      </c>
      <c r="C522" s="28">
        <f t="shared" si="55"/>
        <v>98.345429999999993</v>
      </c>
      <c r="D522" s="19" t="s">
        <v>32</v>
      </c>
      <c r="E522" s="19" t="s">
        <v>14</v>
      </c>
      <c r="F522" s="19" t="s">
        <v>33</v>
      </c>
      <c r="G522" s="19" t="s">
        <v>34</v>
      </c>
      <c r="H522" s="19" t="s">
        <v>517</v>
      </c>
      <c r="I522" s="19">
        <v>95.480999999999995</v>
      </c>
      <c r="J522" s="19" t="s">
        <v>32</v>
      </c>
      <c r="K522" s="19" t="s">
        <v>18</v>
      </c>
      <c r="L522" s="19">
        <v>0</v>
      </c>
      <c r="M522" s="34">
        <f t="shared" si="53"/>
        <v>119.35791457379999</v>
      </c>
      <c r="N522" s="19">
        <v>0</v>
      </c>
      <c r="O522" s="34">
        <v>0</v>
      </c>
      <c r="P522" s="34">
        <f t="shared" si="54"/>
        <v>-119.35791457379999</v>
      </c>
      <c r="Q522" s="21">
        <f t="shared" si="56"/>
        <v>119.35791457379999</v>
      </c>
    </row>
    <row r="523" spans="1:17" x14ac:dyDescent="0.25">
      <c r="A523" s="18">
        <v>76701091009</v>
      </c>
      <c r="B523" s="19" t="s">
        <v>1632</v>
      </c>
      <c r="C523" s="28">
        <f t="shared" si="55"/>
        <v>127.849059</v>
      </c>
      <c r="D523" s="19" t="s">
        <v>32</v>
      </c>
      <c r="E523" s="19" t="s">
        <v>14</v>
      </c>
      <c r="F523" s="19" t="s">
        <v>33</v>
      </c>
      <c r="G523" s="19" t="s">
        <v>34</v>
      </c>
      <c r="H523" s="19" t="s">
        <v>517</v>
      </c>
      <c r="I523" s="19">
        <v>124.1253</v>
      </c>
      <c r="J523" s="19" t="s">
        <v>32</v>
      </c>
      <c r="K523" s="19" t="s">
        <v>18</v>
      </c>
      <c r="L523" s="19">
        <v>0</v>
      </c>
      <c r="M523" s="34">
        <f t="shared" si="53"/>
        <v>155.16528894593998</v>
      </c>
      <c r="N523" s="19">
        <v>0</v>
      </c>
      <c r="O523" s="34">
        <v>0</v>
      </c>
      <c r="P523" s="34">
        <f t="shared" si="54"/>
        <v>-155.16528894593998</v>
      </c>
      <c r="Q523" s="21">
        <f t="shared" si="56"/>
        <v>155.16528894593998</v>
      </c>
    </row>
    <row r="524" spans="1:17" x14ac:dyDescent="0.25">
      <c r="A524" s="18">
        <v>76701091010</v>
      </c>
      <c r="B524" s="19" t="s">
        <v>1633</v>
      </c>
      <c r="C524" s="28">
        <f t="shared" si="55"/>
        <v>415.23626000000002</v>
      </c>
      <c r="D524" s="19" t="s">
        <v>32</v>
      </c>
      <c r="E524" s="19" t="s">
        <v>14</v>
      </c>
      <c r="F524" s="19" t="s">
        <v>33</v>
      </c>
      <c r="G524" s="19" t="s">
        <v>34</v>
      </c>
      <c r="H524" s="19" t="s">
        <v>517</v>
      </c>
      <c r="I524" s="19">
        <v>403.142</v>
      </c>
      <c r="J524" s="19" t="s">
        <v>32</v>
      </c>
      <c r="K524" s="19" t="s">
        <v>18</v>
      </c>
      <c r="L524" s="19">
        <v>0</v>
      </c>
      <c r="M524" s="34">
        <f t="shared" si="53"/>
        <v>503.95563931160001</v>
      </c>
      <c r="N524" s="19">
        <v>0</v>
      </c>
      <c r="O524" s="34">
        <v>0</v>
      </c>
      <c r="P524" s="34">
        <f t="shared" si="54"/>
        <v>-503.95563931160001</v>
      </c>
      <c r="Q524" s="21">
        <f t="shared" si="56"/>
        <v>503.95563931160001</v>
      </c>
    </row>
    <row r="525" spans="1:17" x14ac:dyDescent="0.25">
      <c r="A525" s="18">
        <v>76701091011</v>
      </c>
      <c r="B525" s="19" t="s">
        <v>1634</v>
      </c>
      <c r="C525" s="28">
        <f t="shared" si="55"/>
        <v>66.656346999999997</v>
      </c>
      <c r="D525" s="19" t="s">
        <v>32</v>
      </c>
      <c r="E525" s="19" t="s">
        <v>14</v>
      </c>
      <c r="F525" s="19" t="s">
        <v>33</v>
      </c>
      <c r="G525" s="19" t="s">
        <v>34</v>
      </c>
      <c r="H525" s="19" t="s">
        <v>517</v>
      </c>
      <c r="I525" s="19">
        <v>64.7149</v>
      </c>
      <c r="J525" s="19" t="s">
        <v>13</v>
      </c>
      <c r="K525" s="19" t="s">
        <v>18</v>
      </c>
      <c r="L525" s="19">
        <v>0</v>
      </c>
      <c r="M525" s="34">
        <f t="shared" si="53"/>
        <v>80.898142100019996</v>
      </c>
      <c r="N525" s="19">
        <v>0</v>
      </c>
      <c r="O525" s="34">
        <v>0</v>
      </c>
      <c r="P525" s="34">
        <f t="shared" si="54"/>
        <v>-80.898142100019996</v>
      </c>
      <c r="Q525" s="21">
        <f t="shared" si="56"/>
        <v>80.898142100019996</v>
      </c>
    </row>
    <row r="526" spans="1:17" x14ac:dyDescent="0.25">
      <c r="A526" s="18">
        <v>76701108006</v>
      </c>
      <c r="B526" s="19" t="s">
        <v>1635</v>
      </c>
      <c r="C526" s="28">
        <f t="shared" si="55"/>
        <v>24.367812099999998</v>
      </c>
      <c r="D526" s="19" t="s">
        <v>383</v>
      </c>
      <c r="E526" s="19" t="s">
        <v>14</v>
      </c>
      <c r="F526" s="19" t="s">
        <v>33</v>
      </c>
      <c r="G526" s="19" t="s">
        <v>34</v>
      </c>
      <c r="H526" s="19" t="s">
        <v>517</v>
      </c>
      <c r="I526" s="19">
        <v>23.658069999999999</v>
      </c>
      <c r="J526" s="19" t="s">
        <v>13</v>
      </c>
      <c r="K526" s="19" t="s">
        <v>18</v>
      </c>
      <c r="L526" s="19">
        <v>0</v>
      </c>
      <c r="M526" s="34">
        <f t="shared" si="53"/>
        <v>29.574238833285996</v>
      </c>
      <c r="N526" s="19">
        <v>0</v>
      </c>
      <c r="O526" s="34">
        <v>0</v>
      </c>
      <c r="P526" s="34">
        <f t="shared" si="54"/>
        <v>-29.574238833285996</v>
      </c>
      <c r="Q526" s="21">
        <f t="shared" si="56"/>
        <v>29.574238833285996</v>
      </c>
    </row>
    <row r="527" spans="1:17" x14ac:dyDescent="0.25">
      <c r="A527" s="18">
        <v>76701105011</v>
      </c>
      <c r="B527" s="19" t="s">
        <v>1636</v>
      </c>
      <c r="C527" s="28">
        <f t="shared" si="55"/>
        <v>2.4039994</v>
      </c>
      <c r="D527" s="19" t="s">
        <v>191</v>
      </c>
      <c r="E527" s="19" t="s">
        <v>14</v>
      </c>
      <c r="F527" s="19" t="s">
        <v>33</v>
      </c>
      <c r="G527" s="19" t="s">
        <v>34</v>
      </c>
      <c r="H527" s="19" t="s">
        <v>517</v>
      </c>
      <c r="I527" s="19">
        <v>2.3339799999999999</v>
      </c>
      <c r="J527" s="19" t="s">
        <v>379</v>
      </c>
      <c r="K527" s="19" t="s">
        <v>18</v>
      </c>
      <c r="L527" s="19">
        <v>0</v>
      </c>
      <c r="M527" s="34">
        <f t="shared" si="53"/>
        <v>2.9176379118039999</v>
      </c>
      <c r="N527" s="19">
        <v>0</v>
      </c>
      <c r="O527" s="34">
        <v>0</v>
      </c>
      <c r="P527" s="34">
        <f t="shared" si="54"/>
        <v>-2.9176379118039999</v>
      </c>
      <c r="Q527" s="21">
        <f t="shared" si="56"/>
        <v>2.9176379118039999</v>
      </c>
    </row>
    <row r="528" spans="1:17" x14ac:dyDescent="0.25">
      <c r="A528" s="18">
        <v>76701100007</v>
      </c>
      <c r="B528" s="19" t="s">
        <v>1637</v>
      </c>
      <c r="C528" s="28">
        <f t="shared" si="55"/>
        <v>25.154575540000003</v>
      </c>
      <c r="D528" s="19" t="s">
        <v>32</v>
      </c>
      <c r="E528" s="19" t="s">
        <v>14</v>
      </c>
      <c r="F528" s="19" t="s">
        <v>33</v>
      </c>
      <c r="G528" s="19" t="s">
        <v>34</v>
      </c>
      <c r="H528" s="19" t="s">
        <v>517</v>
      </c>
      <c r="I528" s="19">
        <v>24.421918000000002</v>
      </c>
      <c r="J528" s="19" t="s">
        <v>32</v>
      </c>
      <c r="K528" s="19" t="s">
        <v>18</v>
      </c>
      <c r="L528" s="19">
        <v>0</v>
      </c>
      <c r="M528" s="34">
        <f t="shared" si="53"/>
        <v>30.529102149876405</v>
      </c>
      <c r="N528" s="19">
        <v>0</v>
      </c>
      <c r="O528" s="34">
        <v>0</v>
      </c>
      <c r="P528" s="34">
        <f t="shared" si="54"/>
        <v>-30.529102149876405</v>
      </c>
      <c r="Q528" s="21">
        <f t="shared" si="56"/>
        <v>30.529102149876405</v>
      </c>
    </row>
    <row r="529" spans="1:17" x14ac:dyDescent="0.25">
      <c r="A529" s="18">
        <v>76701100008</v>
      </c>
      <c r="B529" s="19" t="s">
        <v>1638</v>
      </c>
      <c r="C529" s="28">
        <f t="shared" si="55"/>
        <v>0</v>
      </c>
      <c r="D529" s="19" t="s">
        <v>32</v>
      </c>
      <c r="E529" s="19" t="s">
        <v>14</v>
      </c>
      <c r="F529" s="19" t="s">
        <v>33</v>
      </c>
      <c r="G529" s="19" t="s">
        <v>34</v>
      </c>
      <c r="H529" s="19" t="s">
        <v>517</v>
      </c>
      <c r="I529" s="19"/>
      <c r="J529" s="19" t="s">
        <v>32</v>
      </c>
      <c r="K529" s="19" t="s">
        <v>18</v>
      </c>
      <c r="L529" s="19">
        <v>0</v>
      </c>
      <c r="M529" s="34">
        <f t="shared" si="53"/>
        <v>0</v>
      </c>
      <c r="N529" s="19">
        <v>0</v>
      </c>
      <c r="O529" s="34">
        <v>0</v>
      </c>
      <c r="P529" s="34">
        <f t="shared" si="54"/>
        <v>0</v>
      </c>
      <c r="Q529" s="21">
        <f t="shared" si="56"/>
        <v>0</v>
      </c>
    </row>
    <row r="530" spans="1:17" x14ac:dyDescent="0.25">
      <c r="A530" s="18">
        <v>76701005005</v>
      </c>
      <c r="B530" s="19" t="s">
        <v>1639</v>
      </c>
      <c r="C530" s="28">
        <f t="shared" si="55"/>
        <v>8.4139979</v>
      </c>
      <c r="D530" s="19" t="s">
        <v>191</v>
      </c>
      <c r="E530" s="19" t="s">
        <v>14</v>
      </c>
      <c r="F530" s="19" t="s">
        <v>33</v>
      </c>
      <c r="G530" s="19" t="s">
        <v>34</v>
      </c>
      <c r="H530" s="19" t="s">
        <v>517</v>
      </c>
      <c r="I530" s="19">
        <v>8.1689299999999996</v>
      </c>
      <c r="J530" s="19" t="s">
        <v>379</v>
      </c>
      <c r="K530" s="19" t="s">
        <v>18</v>
      </c>
      <c r="L530" s="19">
        <v>0</v>
      </c>
      <c r="M530" s="34">
        <f t="shared" si="53"/>
        <v>10.211732691313999</v>
      </c>
      <c r="N530" s="19">
        <v>0</v>
      </c>
      <c r="O530" s="34">
        <v>0</v>
      </c>
      <c r="P530" s="34">
        <f t="shared" si="54"/>
        <v>-10.211732691313999</v>
      </c>
      <c r="Q530" s="21">
        <f t="shared" si="56"/>
        <v>10.211732691313999</v>
      </c>
    </row>
    <row r="531" spans="1:17" x14ac:dyDescent="0.25">
      <c r="A531" s="18">
        <v>76701105013</v>
      </c>
      <c r="B531" s="19" t="s">
        <v>1640</v>
      </c>
      <c r="C531" s="28">
        <f t="shared" si="55"/>
        <v>4.98130454</v>
      </c>
      <c r="D531" s="19" t="s">
        <v>191</v>
      </c>
      <c r="E531" s="19" t="s">
        <v>14</v>
      </c>
      <c r="F531" s="19" t="s">
        <v>33</v>
      </c>
      <c r="G531" s="19" t="s">
        <v>34</v>
      </c>
      <c r="H531" s="19" t="s">
        <v>517</v>
      </c>
      <c r="I531" s="19">
        <v>4.8362179999999997</v>
      </c>
      <c r="J531" s="19" t="s">
        <v>379</v>
      </c>
      <c r="K531" s="19" t="s">
        <v>18</v>
      </c>
      <c r="L531" s="19">
        <v>0</v>
      </c>
      <c r="M531" s="34">
        <f t="shared" si="53"/>
        <v>6.0456100680163996</v>
      </c>
      <c r="N531" s="19">
        <v>0</v>
      </c>
      <c r="O531" s="34">
        <v>0</v>
      </c>
      <c r="P531" s="34">
        <f t="shared" si="54"/>
        <v>-6.0456100680163996</v>
      </c>
      <c r="Q531" s="21">
        <f t="shared" si="56"/>
        <v>6.0456100680163996</v>
      </c>
    </row>
    <row r="532" spans="1:17" x14ac:dyDescent="0.25">
      <c r="A532" s="18">
        <v>76701105012</v>
      </c>
      <c r="B532" s="19" t="s">
        <v>1641</v>
      </c>
      <c r="C532" s="28">
        <f t="shared" si="55"/>
        <v>4.7559848299999992</v>
      </c>
      <c r="D532" s="19" t="s">
        <v>191</v>
      </c>
      <c r="E532" s="19" t="s">
        <v>14</v>
      </c>
      <c r="F532" s="19" t="s">
        <v>33</v>
      </c>
      <c r="G532" s="19" t="s">
        <v>34</v>
      </c>
      <c r="H532" s="19" t="s">
        <v>517</v>
      </c>
      <c r="I532" s="19">
        <v>4.6174609999999996</v>
      </c>
      <c r="J532" s="19" t="s">
        <v>379</v>
      </c>
      <c r="K532" s="19" t="s">
        <v>18</v>
      </c>
      <c r="L532" s="19">
        <v>0</v>
      </c>
      <c r="M532" s="34">
        <f t="shared" si="53"/>
        <v>5.7721485487777988</v>
      </c>
      <c r="N532" s="19">
        <v>0</v>
      </c>
      <c r="O532" s="34">
        <v>0</v>
      </c>
      <c r="P532" s="34">
        <f t="shared" si="54"/>
        <v>-5.7721485487777988</v>
      </c>
      <c r="Q532" s="21">
        <f t="shared" si="56"/>
        <v>5.7721485487777988</v>
      </c>
    </row>
    <row r="533" spans="1:17" x14ac:dyDescent="0.25">
      <c r="A533" s="18" t="s">
        <v>1020</v>
      </c>
      <c r="B533" s="19" t="s">
        <v>1642</v>
      </c>
      <c r="C533" s="28">
        <v>61.9</v>
      </c>
      <c r="D533" s="19" t="s">
        <v>32</v>
      </c>
      <c r="E533" s="19" t="s">
        <v>14</v>
      </c>
      <c r="F533" s="19" t="s">
        <v>33</v>
      </c>
      <c r="G533" s="19" t="s">
        <v>34</v>
      </c>
      <c r="H533" s="19" t="s">
        <v>265</v>
      </c>
      <c r="I533" s="19">
        <v>60.1</v>
      </c>
      <c r="J533" s="19" t="s">
        <v>32</v>
      </c>
      <c r="K533" s="19" t="s">
        <v>18</v>
      </c>
      <c r="L533" s="19" t="s">
        <v>1020</v>
      </c>
      <c r="M533" s="34">
        <f t="shared" si="53"/>
        <v>75.125553999999994</v>
      </c>
      <c r="N533" s="19">
        <v>0</v>
      </c>
      <c r="O533" s="34">
        <v>0</v>
      </c>
      <c r="P533" s="34">
        <f t="shared" si="54"/>
        <v>-75.125553999999994</v>
      </c>
      <c r="Q533" s="21">
        <f t="shared" si="56"/>
        <v>75.125553999999994</v>
      </c>
    </row>
    <row r="534" spans="1:17" x14ac:dyDescent="0.25">
      <c r="A534" s="18" t="s">
        <v>1022</v>
      </c>
      <c r="B534" s="19" t="s">
        <v>1643</v>
      </c>
      <c r="C534" s="28">
        <v>113.43</v>
      </c>
      <c r="D534" s="19" t="s">
        <v>111</v>
      </c>
      <c r="E534" s="19" t="s">
        <v>14</v>
      </c>
      <c r="F534" s="19" t="s">
        <v>33</v>
      </c>
      <c r="G534" s="19" t="s">
        <v>34</v>
      </c>
      <c r="H534" s="19" t="s">
        <v>489</v>
      </c>
      <c r="I534" s="19">
        <v>110.13</v>
      </c>
      <c r="J534" s="19" t="s">
        <v>111</v>
      </c>
      <c r="K534" s="19" t="s">
        <v>18</v>
      </c>
      <c r="L534" s="19" t="s">
        <v>1022</v>
      </c>
      <c r="M534" s="34">
        <f t="shared" si="53"/>
        <v>137.66545379999999</v>
      </c>
      <c r="N534" s="19">
        <v>0</v>
      </c>
      <c r="O534" s="34">
        <v>0</v>
      </c>
      <c r="P534" s="34">
        <f t="shared" si="54"/>
        <v>-137.66545379999999</v>
      </c>
      <c r="Q534" s="21">
        <f t="shared" si="56"/>
        <v>137.66545379999999</v>
      </c>
    </row>
    <row r="535" spans="1:17" x14ac:dyDescent="0.25">
      <c r="A535" s="18" t="s">
        <v>1024</v>
      </c>
      <c r="B535" s="19" t="s">
        <v>1644</v>
      </c>
      <c r="C535" s="28">
        <f>I535*3%+I535</f>
        <v>1405.95</v>
      </c>
      <c r="D535" s="19" t="s">
        <v>13</v>
      </c>
      <c r="E535" s="19" t="s">
        <v>23</v>
      </c>
      <c r="F535" s="19" t="s">
        <v>49</v>
      </c>
      <c r="G535" s="19" t="s">
        <v>50</v>
      </c>
      <c r="H535" s="19" t="s">
        <v>50</v>
      </c>
      <c r="I535" s="19">
        <v>1365</v>
      </c>
      <c r="J535" s="19" t="s">
        <v>13</v>
      </c>
      <c r="K535" s="19" t="s">
        <v>18</v>
      </c>
      <c r="L535" s="19" t="s">
        <v>1024</v>
      </c>
      <c r="M535" s="34">
        <f t="shared" si="53"/>
        <v>1706.3452769999999</v>
      </c>
      <c r="N535" s="19">
        <v>0</v>
      </c>
      <c r="O535" s="34">
        <v>0</v>
      </c>
      <c r="P535" s="34">
        <f t="shared" si="54"/>
        <v>-1706.3452769999999</v>
      </c>
      <c r="Q535" s="21">
        <f t="shared" si="56"/>
        <v>1706.3452769999999</v>
      </c>
    </row>
    <row r="536" spans="1:17" x14ac:dyDescent="0.25">
      <c r="A536" s="18" t="s">
        <v>1026</v>
      </c>
      <c r="B536" s="19" t="s">
        <v>1645</v>
      </c>
      <c r="C536" s="28">
        <f>I536*3%+I536</f>
        <v>90.073499999999996</v>
      </c>
      <c r="D536" s="19" t="s">
        <v>111</v>
      </c>
      <c r="E536" s="19" t="s">
        <v>14</v>
      </c>
      <c r="F536" s="19" t="s">
        <v>131</v>
      </c>
      <c r="G536" s="19" t="s">
        <v>132</v>
      </c>
      <c r="H536" s="19" t="s">
        <v>594</v>
      </c>
      <c r="I536" s="19">
        <v>87.45</v>
      </c>
      <c r="J536" s="19" t="s">
        <v>111</v>
      </c>
      <c r="K536" s="19" t="s">
        <v>18</v>
      </c>
      <c r="L536" s="19" t="s">
        <v>1026</v>
      </c>
      <c r="M536" s="34">
        <f t="shared" si="53"/>
        <v>109.31860400999999</v>
      </c>
      <c r="N536" s="19">
        <v>0</v>
      </c>
      <c r="O536" s="34">
        <v>0</v>
      </c>
      <c r="P536" s="34">
        <f t="shared" si="54"/>
        <v>-109.31860400999999</v>
      </c>
      <c r="Q536" s="21">
        <f t="shared" si="56"/>
        <v>109.31860400999999</v>
      </c>
    </row>
    <row r="537" spans="1:17" x14ac:dyDescent="0.25">
      <c r="A537" s="18" t="s">
        <v>1028</v>
      </c>
      <c r="B537" s="19" t="s">
        <v>1646</v>
      </c>
      <c r="C537" s="28">
        <v>70.650000000000006</v>
      </c>
      <c r="D537" s="19" t="s">
        <v>13</v>
      </c>
      <c r="E537" s="19" t="s">
        <v>14</v>
      </c>
      <c r="F537" s="19" t="s">
        <v>33</v>
      </c>
      <c r="G537" s="19" t="s">
        <v>34</v>
      </c>
      <c r="H537" s="19" t="s">
        <v>35</v>
      </c>
      <c r="I537" s="19">
        <v>68.59</v>
      </c>
      <c r="J537" s="19" t="s">
        <v>13</v>
      </c>
      <c r="K537" s="19" t="s">
        <v>18</v>
      </c>
      <c r="L537" s="19" t="s">
        <v>1028</v>
      </c>
      <c r="M537" s="34">
        <f t="shared" si="53"/>
        <v>85.745079000000004</v>
      </c>
      <c r="N537" s="19" t="s">
        <v>1028</v>
      </c>
      <c r="O537" s="34">
        <v>85.737200000000001</v>
      </c>
      <c r="P537" s="34">
        <f t="shared" si="54"/>
        <v>-7.8790000000026339E-3</v>
      </c>
      <c r="Q537" s="21">
        <f t="shared" si="56"/>
        <v>85.745079000000004</v>
      </c>
    </row>
    <row r="538" spans="1:17" x14ac:dyDescent="0.25">
      <c r="A538" s="18" t="s">
        <v>1030</v>
      </c>
      <c r="B538" s="19" t="s">
        <v>1647</v>
      </c>
      <c r="C538" s="28">
        <f>I538*3%+I538</f>
        <v>18.54</v>
      </c>
      <c r="D538" s="19" t="s">
        <v>13</v>
      </c>
      <c r="E538" s="19" t="s">
        <v>14</v>
      </c>
      <c r="F538" s="19" t="s">
        <v>33</v>
      </c>
      <c r="G538" s="19" t="s">
        <v>34</v>
      </c>
      <c r="H538" s="19" t="s">
        <v>35</v>
      </c>
      <c r="I538" s="19">
        <v>18</v>
      </c>
      <c r="J538" s="19" t="s">
        <v>13</v>
      </c>
      <c r="K538" s="19" t="s">
        <v>18</v>
      </c>
      <c r="L538" s="19" t="s">
        <v>1030</v>
      </c>
      <c r="M538" s="34">
        <f t="shared" si="53"/>
        <v>22.501256399999999</v>
      </c>
      <c r="N538" s="19">
        <v>0</v>
      </c>
      <c r="O538" s="34">
        <v>0</v>
      </c>
      <c r="P538" s="34">
        <f t="shared" si="54"/>
        <v>-22.501256399999999</v>
      </c>
      <c r="Q538" s="21">
        <f t="shared" si="56"/>
        <v>22.501256399999999</v>
      </c>
    </row>
    <row r="539" spans="1:17" x14ac:dyDescent="0.25">
      <c r="A539" s="18" t="s">
        <v>1032</v>
      </c>
      <c r="B539" s="19" t="s">
        <v>1648</v>
      </c>
      <c r="C539" s="28">
        <v>23.79</v>
      </c>
      <c r="D539" s="19" t="s">
        <v>13</v>
      </c>
      <c r="E539" s="19" t="s">
        <v>14</v>
      </c>
      <c r="F539" s="19" t="s">
        <v>33</v>
      </c>
      <c r="G539" s="19" t="s">
        <v>34</v>
      </c>
      <c r="H539" s="19" t="s">
        <v>35</v>
      </c>
      <c r="I539" s="19">
        <v>23.1</v>
      </c>
      <c r="J539" s="19" t="s">
        <v>13</v>
      </c>
      <c r="K539" s="19" t="s">
        <v>18</v>
      </c>
      <c r="L539" s="19" t="s">
        <v>1032</v>
      </c>
      <c r="M539" s="34">
        <f t="shared" si="53"/>
        <v>28.872971399999997</v>
      </c>
      <c r="N539" s="19" t="s">
        <v>1032</v>
      </c>
      <c r="O539" s="34">
        <v>28.8812</v>
      </c>
      <c r="P539" s="34">
        <f t="shared" si="54"/>
        <v>8.2286000000024728E-3</v>
      </c>
      <c r="Q539" s="21">
        <f t="shared" si="56"/>
        <v>28.872971399999997</v>
      </c>
    </row>
    <row r="540" spans="1:17" x14ac:dyDescent="0.25">
      <c r="A540" s="18" t="s">
        <v>1034</v>
      </c>
      <c r="B540" s="19" t="s">
        <v>1649</v>
      </c>
      <c r="C540" s="28">
        <v>7.07</v>
      </c>
      <c r="D540" s="19" t="s">
        <v>13</v>
      </c>
      <c r="E540" s="19" t="s">
        <v>14</v>
      </c>
      <c r="F540" s="19" t="s">
        <v>33</v>
      </c>
      <c r="G540" s="19" t="s">
        <v>34</v>
      </c>
      <c r="H540" s="19" t="s">
        <v>35</v>
      </c>
      <c r="I540" s="19">
        <v>6.86</v>
      </c>
      <c r="J540" s="19" t="s">
        <v>13</v>
      </c>
      <c r="K540" s="19" t="s">
        <v>18</v>
      </c>
      <c r="L540" s="19" t="s">
        <v>1034</v>
      </c>
      <c r="M540" s="34">
        <f t="shared" si="53"/>
        <v>8.5805761999999994</v>
      </c>
      <c r="N540" s="19" t="s">
        <v>1034</v>
      </c>
      <c r="O540" s="34">
        <v>8.5799000000000003</v>
      </c>
      <c r="P540" s="34">
        <f t="shared" si="54"/>
        <v>-6.761999999991275E-4</v>
      </c>
      <c r="Q540" s="21">
        <f t="shared" si="56"/>
        <v>8.5805761999999994</v>
      </c>
    </row>
    <row r="541" spans="1:17" x14ac:dyDescent="0.25">
      <c r="A541" s="18" t="s">
        <v>1036</v>
      </c>
      <c r="B541" s="19" t="s">
        <v>1650</v>
      </c>
      <c r="C541" s="28">
        <v>15.54</v>
      </c>
      <c r="D541" s="19" t="s">
        <v>13</v>
      </c>
      <c r="E541" s="19" t="s">
        <v>14</v>
      </c>
      <c r="F541" s="19" t="s">
        <v>33</v>
      </c>
      <c r="G541" s="19" t="s">
        <v>34</v>
      </c>
      <c r="H541" s="19" t="s">
        <v>35</v>
      </c>
      <c r="I541" s="19">
        <v>15.09</v>
      </c>
      <c r="J541" s="19" t="s">
        <v>13</v>
      </c>
      <c r="K541" s="19" t="s">
        <v>18</v>
      </c>
      <c r="L541" s="19" t="s">
        <v>1036</v>
      </c>
      <c r="M541" s="34">
        <f t="shared" si="53"/>
        <v>18.8602764</v>
      </c>
      <c r="N541" s="19" t="s">
        <v>1036</v>
      </c>
      <c r="O541" s="34">
        <v>18.859300000000001</v>
      </c>
      <c r="P541" s="34">
        <f t="shared" si="54"/>
        <v>-9.7639999999898919E-4</v>
      </c>
      <c r="Q541" s="21">
        <f t="shared" si="56"/>
        <v>18.8602764</v>
      </c>
    </row>
    <row r="542" spans="1:17" x14ac:dyDescent="0.25">
      <c r="A542" s="18" t="s">
        <v>1038</v>
      </c>
      <c r="B542" s="19" t="s">
        <v>1651</v>
      </c>
      <c r="C542" s="28">
        <v>22.4</v>
      </c>
      <c r="D542" s="19" t="s">
        <v>13</v>
      </c>
      <c r="E542" s="19" t="s">
        <v>14</v>
      </c>
      <c r="F542" s="19" t="s">
        <v>33</v>
      </c>
      <c r="G542" s="19" t="s">
        <v>34</v>
      </c>
      <c r="H542" s="19" t="s">
        <v>35</v>
      </c>
      <c r="I542" s="19">
        <v>21.74</v>
      </c>
      <c r="J542" s="19" t="s">
        <v>13</v>
      </c>
      <c r="K542" s="19" t="s">
        <v>18</v>
      </c>
      <c r="L542" s="19" t="s">
        <v>1038</v>
      </c>
      <c r="M542" s="34">
        <f t="shared" si="53"/>
        <v>27.185983999999998</v>
      </c>
      <c r="N542" s="19" t="s">
        <v>1038</v>
      </c>
      <c r="O542" s="34">
        <v>27.171399999999998</v>
      </c>
      <c r="P542" s="34">
        <f t="shared" si="54"/>
        <v>-1.4583999999999264E-2</v>
      </c>
      <c r="Q542" s="21">
        <f t="shared" si="56"/>
        <v>27.185983999999998</v>
      </c>
    </row>
    <row r="543" spans="1:17" x14ac:dyDescent="0.25">
      <c r="A543" s="18" t="s">
        <v>1040</v>
      </c>
      <c r="B543" s="19" t="s">
        <v>1652</v>
      </c>
      <c r="C543" s="28">
        <f>I543*3%+I543</f>
        <v>4.6864999999999997</v>
      </c>
      <c r="D543" s="19" t="s">
        <v>13</v>
      </c>
      <c r="E543" s="19" t="s">
        <v>14</v>
      </c>
      <c r="F543" s="19" t="s">
        <v>33</v>
      </c>
      <c r="G543" s="19" t="s">
        <v>34</v>
      </c>
      <c r="H543" s="19" t="s">
        <v>35</v>
      </c>
      <c r="I543" s="19">
        <v>4.55</v>
      </c>
      <c r="J543" s="19" t="s">
        <v>13</v>
      </c>
      <c r="K543" s="19" t="s">
        <v>18</v>
      </c>
      <c r="L543" s="19" t="s">
        <v>1040</v>
      </c>
      <c r="M543" s="34">
        <f t="shared" si="53"/>
        <v>5.687817589999999</v>
      </c>
      <c r="N543" s="19" t="s">
        <v>1040</v>
      </c>
      <c r="O543" s="34">
        <v>2.266</v>
      </c>
      <c r="P543" s="34">
        <f t="shared" si="54"/>
        <v>-3.421817589999999</v>
      </c>
      <c r="Q543" s="21">
        <f t="shared" si="56"/>
        <v>5.687817589999999</v>
      </c>
    </row>
    <row r="544" spans="1:17" x14ac:dyDescent="0.25">
      <c r="A544" s="18" t="s">
        <v>1042</v>
      </c>
      <c r="B544" s="19" t="s">
        <v>1653</v>
      </c>
      <c r="C544" s="28">
        <f t="shared" ref="C544:C547" si="57">I544*3%+I544</f>
        <v>63.1870598</v>
      </c>
      <c r="D544" s="19" t="s">
        <v>191</v>
      </c>
      <c r="E544" s="19" t="s">
        <v>14</v>
      </c>
      <c r="F544" s="19" t="s">
        <v>33</v>
      </c>
      <c r="G544" s="19" t="s">
        <v>34</v>
      </c>
      <c r="H544" s="19" t="s">
        <v>270</v>
      </c>
      <c r="I544" s="19">
        <v>61.34666</v>
      </c>
      <c r="J544" s="19" t="s">
        <v>379</v>
      </c>
      <c r="K544" s="19" t="s">
        <v>18</v>
      </c>
      <c r="L544" s="19">
        <v>0</v>
      </c>
      <c r="M544" s="34">
        <f t="shared" si="53"/>
        <v>76.687606996867999</v>
      </c>
      <c r="N544" s="19">
        <v>0</v>
      </c>
      <c r="O544" s="34">
        <v>0</v>
      </c>
      <c r="P544" s="34">
        <f t="shared" si="54"/>
        <v>-76.687606996867999</v>
      </c>
      <c r="Q544" s="21">
        <f t="shared" si="56"/>
        <v>76.687606996867999</v>
      </c>
    </row>
    <row r="545" spans="1:17" x14ac:dyDescent="0.25">
      <c r="A545" s="18" t="s">
        <v>1044</v>
      </c>
      <c r="B545" s="19" t="s">
        <v>1654</v>
      </c>
      <c r="C545" s="28">
        <f t="shared" si="57"/>
        <v>87.034999999999997</v>
      </c>
      <c r="D545" s="19" t="s">
        <v>32</v>
      </c>
      <c r="E545" s="19" t="s">
        <v>14</v>
      </c>
      <c r="F545" s="19" t="s">
        <v>44</v>
      </c>
      <c r="G545" s="19" t="s">
        <v>45</v>
      </c>
      <c r="H545" s="19" t="s">
        <v>23</v>
      </c>
      <c r="I545" s="19">
        <v>84.5</v>
      </c>
      <c r="J545" s="19" t="s">
        <v>32</v>
      </c>
      <c r="K545" s="19" t="s">
        <v>18</v>
      </c>
      <c r="L545" s="19" t="s">
        <v>1044</v>
      </c>
      <c r="M545" s="34">
        <f t="shared" si="53"/>
        <v>105.6308981</v>
      </c>
      <c r="N545" s="19">
        <v>0</v>
      </c>
      <c r="O545" s="34">
        <v>0</v>
      </c>
      <c r="P545" s="34">
        <f t="shared" si="54"/>
        <v>-105.6308981</v>
      </c>
      <c r="Q545" s="21">
        <f t="shared" si="56"/>
        <v>105.6308981</v>
      </c>
    </row>
    <row r="546" spans="1:17" x14ac:dyDescent="0.25">
      <c r="A546" s="18" t="s">
        <v>1046</v>
      </c>
      <c r="B546" s="19" t="s">
        <v>1655</v>
      </c>
      <c r="C546" s="28">
        <f t="shared" si="57"/>
        <v>0</v>
      </c>
      <c r="D546" s="19" t="s">
        <v>13</v>
      </c>
      <c r="E546" s="19" t="s">
        <v>23</v>
      </c>
      <c r="F546" s="19" t="s">
        <v>49</v>
      </c>
      <c r="G546" s="19" t="s">
        <v>50</v>
      </c>
      <c r="H546" s="19" t="s">
        <v>50</v>
      </c>
      <c r="I546" s="19">
        <v>0</v>
      </c>
      <c r="J546" s="19" t="s">
        <v>13</v>
      </c>
      <c r="K546" s="19" t="s">
        <v>18</v>
      </c>
      <c r="L546" s="19" t="s">
        <v>1046</v>
      </c>
      <c r="M546" s="34">
        <f t="shared" si="53"/>
        <v>0</v>
      </c>
      <c r="N546" s="19">
        <v>0</v>
      </c>
      <c r="O546" s="34">
        <v>0</v>
      </c>
      <c r="P546" s="34">
        <f t="shared" si="54"/>
        <v>0</v>
      </c>
      <c r="Q546" s="21">
        <f t="shared" si="56"/>
        <v>0</v>
      </c>
    </row>
    <row r="547" spans="1:17" x14ac:dyDescent="0.25">
      <c r="A547" s="18" t="s">
        <v>1048</v>
      </c>
      <c r="B547" s="19" t="s">
        <v>1656</v>
      </c>
      <c r="C547" s="28">
        <f t="shared" si="57"/>
        <v>53.693899999999999</v>
      </c>
      <c r="D547" s="19" t="s">
        <v>242</v>
      </c>
      <c r="E547" s="19" t="s">
        <v>1050</v>
      </c>
      <c r="F547" s="19" t="s">
        <v>1051</v>
      </c>
      <c r="G547" s="19" t="s">
        <v>1050</v>
      </c>
      <c r="H547" s="19" t="s">
        <v>1052</v>
      </c>
      <c r="I547" s="19">
        <v>52.13</v>
      </c>
      <c r="J547" s="19" t="s">
        <v>242</v>
      </c>
      <c r="K547" s="19" t="s">
        <v>18</v>
      </c>
      <c r="L547" s="19" t="s">
        <v>1048</v>
      </c>
      <c r="M547" s="34">
        <f t="shared" si="53"/>
        <v>65.166138673999995</v>
      </c>
      <c r="N547" s="19">
        <v>0</v>
      </c>
      <c r="O547" s="34">
        <v>0</v>
      </c>
      <c r="P547" s="34">
        <f t="shared" si="54"/>
        <v>-65.166138673999995</v>
      </c>
      <c r="Q547" s="21">
        <f t="shared" si="56"/>
        <v>65.166138673999995</v>
      </c>
    </row>
    <row r="548" spans="1:17" x14ac:dyDescent="0.25">
      <c r="A548" s="18" t="s">
        <v>1053</v>
      </c>
      <c r="B548" s="19" t="s">
        <v>1657</v>
      </c>
      <c r="C548" s="28">
        <v>216.3</v>
      </c>
      <c r="D548" s="19" t="s">
        <v>111</v>
      </c>
      <c r="E548" s="19" t="s">
        <v>14</v>
      </c>
      <c r="F548" s="19" t="s">
        <v>33</v>
      </c>
      <c r="G548" s="19" t="s">
        <v>34</v>
      </c>
      <c r="H548" s="19" t="s">
        <v>155</v>
      </c>
      <c r="I548" s="19">
        <v>61</v>
      </c>
      <c r="J548" s="19" t="s">
        <v>111</v>
      </c>
      <c r="K548" s="19" t="s">
        <v>18</v>
      </c>
      <c r="L548" s="19" t="s">
        <v>1053</v>
      </c>
      <c r="M548" s="34">
        <f t="shared" si="53"/>
        <v>262.514658</v>
      </c>
      <c r="N548" s="19">
        <v>0</v>
      </c>
      <c r="O548" s="34">
        <v>0</v>
      </c>
      <c r="P548" s="34">
        <f t="shared" si="54"/>
        <v>-262.514658</v>
      </c>
      <c r="Q548" s="21">
        <f t="shared" si="56"/>
        <v>262.514658</v>
      </c>
    </row>
    <row r="549" spans="1:17" x14ac:dyDescent="0.25">
      <c r="A549" s="18" t="s">
        <v>1055</v>
      </c>
      <c r="B549" s="19" t="s">
        <v>1658</v>
      </c>
      <c r="C549" s="28">
        <v>77.25</v>
      </c>
      <c r="D549" s="19" t="s">
        <v>191</v>
      </c>
      <c r="E549" s="19" t="s">
        <v>14</v>
      </c>
      <c r="F549" s="19" t="s">
        <v>33</v>
      </c>
      <c r="G549" s="19" t="s">
        <v>34</v>
      </c>
      <c r="H549" s="19" t="s">
        <v>155</v>
      </c>
      <c r="I549" s="19">
        <v>155</v>
      </c>
      <c r="J549" s="19" t="s">
        <v>191</v>
      </c>
      <c r="K549" s="19" t="s">
        <v>18</v>
      </c>
      <c r="L549" s="19" t="s">
        <v>1055</v>
      </c>
      <c r="M549" s="34">
        <f t="shared" si="53"/>
        <v>93.755234999999999</v>
      </c>
      <c r="N549" s="19">
        <v>0</v>
      </c>
      <c r="O549" s="34">
        <v>0</v>
      </c>
      <c r="P549" s="34">
        <f t="shared" si="54"/>
        <v>-93.755234999999999</v>
      </c>
      <c r="Q549" s="21">
        <f t="shared" si="56"/>
        <v>93.755234999999999</v>
      </c>
    </row>
    <row r="550" spans="1:17" x14ac:dyDescent="0.25">
      <c r="A550" s="18" t="s">
        <v>1057</v>
      </c>
      <c r="B550" s="19" t="s">
        <v>1659</v>
      </c>
      <c r="C550" s="28">
        <f>I550*3%+I550</f>
        <v>17.252500000000001</v>
      </c>
      <c r="D550" s="19" t="s">
        <v>32</v>
      </c>
      <c r="E550" s="19" t="s">
        <v>14</v>
      </c>
      <c r="F550" s="19" t="s">
        <v>15</v>
      </c>
      <c r="G550" s="19" t="s">
        <v>16</v>
      </c>
      <c r="H550" s="19" t="s">
        <v>17</v>
      </c>
      <c r="I550" s="19">
        <v>16.75</v>
      </c>
      <c r="J550" s="19" t="s">
        <v>32</v>
      </c>
      <c r="K550" s="19" t="s">
        <v>18</v>
      </c>
      <c r="L550" s="19" t="s">
        <v>1057</v>
      </c>
      <c r="M550" s="34">
        <f t="shared" si="53"/>
        <v>20.938669150000003</v>
      </c>
      <c r="N550" s="19">
        <v>0</v>
      </c>
      <c r="O550" s="34">
        <v>0</v>
      </c>
      <c r="P550" s="34">
        <f t="shared" si="54"/>
        <v>-20.938669150000003</v>
      </c>
      <c r="Q550" s="21">
        <f t="shared" si="56"/>
        <v>20.938669150000003</v>
      </c>
    </row>
    <row r="551" spans="1:17" x14ac:dyDescent="0.25">
      <c r="A551" s="18" t="s">
        <v>1059</v>
      </c>
      <c r="B551" s="19" t="s">
        <v>1660</v>
      </c>
      <c r="C551" s="28">
        <f>I551*3%+I551</f>
        <v>15.141</v>
      </c>
      <c r="D551" s="19" t="s">
        <v>13</v>
      </c>
      <c r="E551" s="19" t="s">
        <v>14</v>
      </c>
      <c r="F551" s="19" t="s">
        <v>33</v>
      </c>
      <c r="G551" s="19" t="s">
        <v>34</v>
      </c>
      <c r="H551" s="19" t="s">
        <v>35</v>
      </c>
      <c r="I551" s="19">
        <v>14.7</v>
      </c>
      <c r="J551" s="19" t="s">
        <v>13</v>
      </c>
      <c r="K551" s="19" t="s">
        <v>18</v>
      </c>
      <c r="L551" s="19" t="s">
        <v>1059</v>
      </c>
      <c r="M551" s="34">
        <f t="shared" si="53"/>
        <v>18.376026060000001</v>
      </c>
      <c r="N551" s="19" t="s">
        <v>1059</v>
      </c>
      <c r="O551" s="34">
        <v>18.3752</v>
      </c>
      <c r="P551" s="34">
        <f t="shared" si="54"/>
        <v>-8.2606000000140511E-4</v>
      </c>
      <c r="Q551" s="21">
        <f t="shared" si="56"/>
        <v>18.376026060000001</v>
      </c>
    </row>
    <row r="552" spans="1:17" x14ac:dyDescent="0.25">
      <c r="A552" s="18" t="s">
        <v>1061</v>
      </c>
      <c r="B552" s="19" t="s">
        <v>1661</v>
      </c>
      <c r="C552" s="28">
        <f t="shared" ref="C552:C554" si="58">I552*3%+I552</f>
        <v>129.78</v>
      </c>
      <c r="D552" s="19" t="s">
        <v>383</v>
      </c>
      <c r="E552" s="19"/>
      <c r="F552" s="19" t="s">
        <v>33</v>
      </c>
      <c r="G552" s="19" t="s">
        <v>34</v>
      </c>
      <c r="H552" s="19" t="s">
        <v>35</v>
      </c>
      <c r="I552" s="19">
        <v>126</v>
      </c>
      <c r="J552" s="19" t="s">
        <v>383</v>
      </c>
      <c r="K552" s="19" t="s">
        <v>18</v>
      </c>
      <c r="L552" s="19" t="s">
        <v>1061</v>
      </c>
      <c r="M552" s="34">
        <f t="shared" si="53"/>
        <v>157.5087948</v>
      </c>
      <c r="N552" s="19" t="s">
        <v>1061</v>
      </c>
      <c r="O552" s="34">
        <v>157.5076</v>
      </c>
      <c r="P552" s="34">
        <f t="shared" si="54"/>
        <v>-1.1948000000074899E-3</v>
      </c>
      <c r="Q552" s="21">
        <f t="shared" si="56"/>
        <v>157.5087948</v>
      </c>
    </row>
    <row r="553" spans="1:17" x14ac:dyDescent="0.25">
      <c r="A553" s="18" t="s">
        <v>1063</v>
      </c>
      <c r="B553" s="19" t="s">
        <v>1662</v>
      </c>
      <c r="C553" s="28">
        <f t="shared" si="58"/>
        <v>179.62169999999998</v>
      </c>
      <c r="D553" s="19" t="s">
        <v>242</v>
      </c>
      <c r="E553" s="19" t="s">
        <v>14</v>
      </c>
      <c r="F553" s="19" t="s">
        <v>44</v>
      </c>
      <c r="G553" s="19" t="s">
        <v>45</v>
      </c>
      <c r="H553" s="19" t="s">
        <v>46</v>
      </c>
      <c r="I553" s="19">
        <v>174.39</v>
      </c>
      <c r="J553" s="19" t="s">
        <v>242</v>
      </c>
      <c r="K553" s="19" t="s">
        <v>18</v>
      </c>
      <c r="L553" s="19" t="s">
        <v>1063</v>
      </c>
      <c r="M553" s="34">
        <f t="shared" si="53"/>
        <v>217.99967242199997</v>
      </c>
      <c r="N553" s="19" t="s">
        <v>1063</v>
      </c>
      <c r="O553" s="34">
        <v>217.99950000000001</v>
      </c>
      <c r="P553" s="34">
        <f t="shared" si="54"/>
        <v>-1.7242199996303498E-4</v>
      </c>
      <c r="Q553" s="21">
        <f t="shared" si="56"/>
        <v>217.99967242199997</v>
      </c>
    </row>
    <row r="554" spans="1:17" x14ac:dyDescent="0.25">
      <c r="A554" s="18" t="s">
        <v>1065</v>
      </c>
      <c r="B554" s="19" t="s">
        <v>1663</v>
      </c>
      <c r="C554" s="28">
        <f t="shared" si="58"/>
        <v>103.824</v>
      </c>
      <c r="D554" s="19" t="s">
        <v>118</v>
      </c>
      <c r="E554" s="19" t="s">
        <v>14</v>
      </c>
      <c r="F554" s="19" t="s">
        <v>119</v>
      </c>
      <c r="G554" s="19" t="s">
        <v>120</v>
      </c>
      <c r="H554" s="19" t="s">
        <v>23</v>
      </c>
      <c r="I554" s="19">
        <v>100.8</v>
      </c>
      <c r="J554" s="19" t="s">
        <v>118</v>
      </c>
      <c r="K554" s="19" t="s">
        <v>18</v>
      </c>
      <c r="L554" s="19" t="s">
        <v>1065</v>
      </c>
      <c r="M554" s="34">
        <f t="shared" si="53"/>
        <v>126.00703584</v>
      </c>
      <c r="N554" s="19">
        <v>0</v>
      </c>
      <c r="O554" s="34">
        <v>0</v>
      </c>
      <c r="P554" s="34">
        <f t="shared" si="54"/>
        <v>-126.00703584</v>
      </c>
      <c r="Q554" s="21">
        <f t="shared" si="56"/>
        <v>126.00703584</v>
      </c>
    </row>
    <row r="555" spans="1:17" x14ac:dyDescent="0.25">
      <c r="A555" s="18" t="s">
        <v>1067</v>
      </c>
      <c r="B555" s="19" t="s">
        <v>1664</v>
      </c>
      <c r="C555" s="28">
        <v>54</v>
      </c>
      <c r="D555" s="19" t="s">
        <v>191</v>
      </c>
      <c r="E555" s="19" t="s">
        <v>14</v>
      </c>
      <c r="F555" s="19" t="s">
        <v>33</v>
      </c>
      <c r="G555" s="19" t="s">
        <v>34</v>
      </c>
      <c r="H555" s="19" t="s">
        <v>35</v>
      </c>
      <c r="I555" s="19">
        <v>52.5</v>
      </c>
      <c r="J555" s="19" t="s">
        <v>191</v>
      </c>
      <c r="K555" s="19" t="s">
        <v>18</v>
      </c>
      <c r="L555" s="19" t="s">
        <v>1067</v>
      </c>
      <c r="M555" s="34">
        <f t="shared" si="53"/>
        <v>65.537639999999996</v>
      </c>
      <c r="N555" s="19" t="s">
        <v>1067</v>
      </c>
      <c r="O555" s="34">
        <v>65.631600000000006</v>
      </c>
      <c r="P555" s="34">
        <f t="shared" si="54"/>
        <v>9.3960000000009813E-2</v>
      </c>
      <c r="Q555" s="21">
        <f t="shared" si="56"/>
        <v>65.537639999999996</v>
      </c>
    </row>
    <row r="556" spans="1:17" x14ac:dyDescent="0.25">
      <c r="A556" s="18" t="s">
        <v>1069</v>
      </c>
      <c r="B556" s="19" t="s">
        <v>1665</v>
      </c>
      <c r="C556" s="28">
        <v>17</v>
      </c>
      <c r="D556" s="19" t="s">
        <v>191</v>
      </c>
      <c r="E556" s="19" t="s">
        <v>14</v>
      </c>
      <c r="F556" s="19" t="s">
        <v>33</v>
      </c>
      <c r="G556" s="19" t="s">
        <v>34</v>
      </c>
      <c r="H556" s="19" t="s">
        <v>35</v>
      </c>
      <c r="I556" s="19">
        <v>28</v>
      </c>
      <c r="J556" s="19" t="s">
        <v>191</v>
      </c>
      <c r="K556" s="19" t="s">
        <v>18</v>
      </c>
      <c r="L556" s="19" t="s">
        <v>1069</v>
      </c>
      <c r="M556" s="34">
        <f t="shared" si="53"/>
        <v>20.63222</v>
      </c>
      <c r="N556" s="19" t="s">
        <v>1069</v>
      </c>
      <c r="O556" s="34">
        <v>36.750399999999999</v>
      </c>
      <c r="P556" s="34">
        <f t="shared" si="54"/>
        <v>16.118179999999999</v>
      </c>
      <c r="Q556" s="21">
        <f t="shared" si="56"/>
        <v>20.63222</v>
      </c>
    </row>
    <row r="557" spans="1:17" x14ac:dyDescent="0.25">
      <c r="A557" s="18" t="s">
        <v>1069</v>
      </c>
      <c r="B557" s="19" t="s">
        <v>1665</v>
      </c>
      <c r="C557" s="28">
        <v>17</v>
      </c>
      <c r="D557" s="19" t="s">
        <v>191</v>
      </c>
      <c r="E557" s="19" t="s">
        <v>14</v>
      </c>
      <c r="F557" s="19" t="s">
        <v>33</v>
      </c>
      <c r="G557" s="19" t="s">
        <v>34</v>
      </c>
      <c r="H557" s="19" t="s">
        <v>35</v>
      </c>
      <c r="I557" s="19">
        <v>29.4</v>
      </c>
      <c r="J557" s="19" t="s">
        <v>191</v>
      </c>
      <c r="K557" s="19" t="s">
        <v>18</v>
      </c>
      <c r="L557" s="19" t="s">
        <v>1069</v>
      </c>
      <c r="M557" s="34">
        <f t="shared" si="53"/>
        <v>20.63222</v>
      </c>
      <c r="N557" s="19" t="s">
        <v>1069</v>
      </c>
      <c r="O557" s="34">
        <v>36.750399999999999</v>
      </c>
      <c r="P557" s="34">
        <f t="shared" si="54"/>
        <v>16.118179999999999</v>
      </c>
      <c r="Q557" s="21">
        <f t="shared" si="56"/>
        <v>20.63222</v>
      </c>
    </row>
    <row r="558" spans="1:17" x14ac:dyDescent="0.25">
      <c r="A558" s="18" t="s">
        <v>1071</v>
      </c>
      <c r="B558" s="19" t="s">
        <v>1666</v>
      </c>
      <c r="C558" s="28">
        <v>50</v>
      </c>
      <c r="D558" s="19" t="s">
        <v>191</v>
      </c>
      <c r="E558" s="19" t="s">
        <v>14</v>
      </c>
      <c r="F558" s="19" t="s">
        <v>33</v>
      </c>
      <c r="G558" s="19" t="s">
        <v>34</v>
      </c>
      <c r="H558" s="19" t="s">
        <v>270</v>
      </c>
      <c r="I558" s="19">
        <v>74.150000000000006</v>
      </c>
      <c r="J558" s="19" t="s">
        <v>191</v>
      </c>
      <c r="K558" s="19" t="s">
        <v>18</v>
      </c>
      <c r="L558" s="19" t="s">
        <v>1071</v>
      </c>
      <c r="M558" s="34">
        <f t="shared" si="53"/>
        <v>60.683</v>
      </c>
      <c r="N558" s="19" t="s">
        <v>1071</v>
      </c>
      <c r="O558" s="34">
        <v>92.689700000000002</v>
      </c>
      <c r="P558" s="34">
        <f t="shared" si="54"/>
        <v>32.006700000000002</v>
      </c>
      <c r="Q558" s="21">
        <f t="shared" si="56"/>
        <v>60.683</v>
      </c>
    </row>
    <row r="559" spans="1:17" x14ac:dyDescent="0.25">
      <c r="A559" s="18" t="s">
        <v>1073</v>
      </c>
      <c r="B559" s="19" t="s">
        <v>1667</v>
      </c>
      <c r="C559" s="28">
        <v>325</v>
      </c>
      <c r="D559" s="19" t="s">
        <v>191</v>
      </c>
      <c r="E559" s="19" t="s">
        <v>14</v>
      </c>
      <c r="F559" s="19" t="s">
        <v>33</v>
      </c>
      <c r="G559" s="19" t="s">
        <v>34</v>
      </c>
      <c r="H559" s="19" t="s">
        <v>1075</v>
      </c>
      <c r="I559" s="19">
        <v>315</v>
      </c>
      <c r="J559" s="19" t="s">
        <v>191</v>
      </c>
      <c r="K559" s="19" t="s">
        <v>18</v>
      </c>
      <c r="L559" s="19" t="s">
        <v>1073</v>
      </c>
      <c r="M559" s="34">
        <f t="shared" si="53"/>
        <v>394.43950000000001</v>
      </c>
      <c r="N559" s="19" t="s">
        <v>1073</v>
      </c>
      <c r="O559" s="34">
        <v>393.76900000000001</v>
      </c>
      <c r="P559" s="34">
        <f t="shared" si="54"/>
        <v>-0.67050000000000409</v>
      </c>
      <c r="Q559" s="21">
        <f t="shared" si="56"/>
        <v>394.43950000000001</v>
      </c>
    </row>
    <row r="560" spans="1:17" x14ac:dyDescent="0.25">
      <c r="A560" s="18" t="s">
        <v>1076</v>
      </c>
      <c r="B560" s="19" t="s">
        <v>1668</v>
      </c>
      <c r="C560" s="28">
        <v>115</v>
      </c>
      <c r="D560" s="19" t="s">
        <v>1078</v>
      </c>
      <c r="E560" s="19" t="s">
        <v>14</v>
      </c>
      <c r="F560" s="19" t="s">
        <v>33</v>
      </c>
      <c r="G560" s="19" t="s">
        <v>34</v>
      </c>
      <c r="H560" s="19" t="s">
        <v>35</v>
      </c>
      <c r="I560" s="19">
        <v>13.387499999999999</v>
      </c>
      <c r="J560" s="19" t="s">
        <v>1078</v>
      </c>
      <c r="K560" s="19" t="s">
        <v>18</v>
      </c>
      <c r="L560" s="19" t="s">
        <v>1076</v>
      </c>
      <c r="M560" s="34">
        <f t="shared" si="53"/>
        <v>139.57089999999999</v>
      </c>
      <c r="N560" s="19" t="s">
        <v>1076</v>
      </c>
      <c r="O560" s="34">
        <v>16.734929999999999</v>
      </c>
      <c r="P560" s="34">
        <f t="shared" si="54"/>
        <v>-122.83597</v>
      </c>
      <c r="Q560" s="21">
        <f t="shared" si="56"/>
        <v>139.57089999999999</v>
      </c>
    </row>
    <row r="561" spans="1:17" x14ac:dyDescent="0.25">
      <c r="A561" s="18" t="s">
        <v>1079</v>
      </c>
      <c r="B561" s="19" t="s">
        <v>1669</v>
      </c>
      <c r="C561" s="28">
        <v>102.64</v>
      </c>
      <c r="D561" s="19" t="s">
        <v>111</v>
      </c>
      <c r="E561" s="19" t="s">
        <v>14</v>
      </c>
      <c r="F561" s="19" t="s">
        <v>33</v>
      </c>
      <c r="G561" s="19" t="s">
        <v>34</v>
      </c>
      <c r="H561" s="19" t="s">
        <v>489</v>
      </c>
      <c r="I561" s="19">
        <v>99.65</v>
      </c>
      <c r="J561" s="19" t="s">
        <v>111</v>
      </c>
      <c r="K561" s="19" t="s">
        <v>18</v>
      </c>
      <c r="L561" s="19" t="s">
        <v>1079</v>
      </c>
      <c r="M561" s="34">
        <f t="shared" ref="M561:M576" si="59">C561*1.21366</f>
        <v>124.5700624</v>
      </c>
      <c r="N561" s="19" t="s">
        <v>1079</v>
      </c>
      <c r="O561" s="34">
        <v>124.5682</v>
      </c>
      <c r="P561" s="34">
        <f t="shared" ref="P561:P576" si="60">O561-M561</f>
        <v>-1.8623999999931584E-3</v>
      </c>
      <c r="Q561" s="21">
        <f t="shared" si="56"/>
        <v>124.5700624</v>
      </c>
    </row>
    <row r="562" spans="1:17" x14ac:dyDescent="0.25">
      <c r="A562" s="18" t="s">
        <v>1081</v>
      </c>
      <c r="B562" s="19" t="s">
        <v>1670</v>
      </c>
      <c r="C562" s="28">
        <f>I562*3%+I562</f>
        <v>38.223300000000002</v>
      </c>
      <c r="D562" s="19" t="s">
        <v>242</v>
      </c>
      <c r="E562" s="19" t="s">
        <v>244</v>
      </c>
      <c r="F562" s="19" t="s">
        <v>571</v>
      </c>
      <c r="G562" s="19" t="s">
        <v>572</v>
      </c>
      <c r="H562" s="19" t="s">
        <v>573</v>
      </c>
      <c r="I562" s="19">
        <v>37.11</v>
      </c>
      <c r="J562" s="19" t="s">
        <v>242</v>
      </c>
      <c r="K562" s="19" t="s">
        <v>18</v>
      </c>
      <c r="L562" s="19" t="s">
        <v>1081</v>
      </c>
      <c r="M562" s="34">
        <f t="shared" si="59"/>
        <v>46.390090278000002</v>
      </c>
      <c r="N562" s="19" t="s">
        <v>1081</v>
      </c>
      <c r="O562" s="34">
        <v>46.391199999999998</v>
      </c>
      <c r="P562" s="34">
        <f t="shared" si="60"/>
        <v>1.1097219999953722E-3</v>
      </c>
      <c r="Q562" s="21">
        <f t="shared" si="56"/>
        <v>46.390090278000002</v>
      </c>
    </row>
    <row r="563" spans="1:17" x14ac:dyDescent="0.25">
      <c r="A563" s="18" t="s">
        <v>1083</v>
      </c>
      <c r="B563" s="19" t="s">
        <v>1671</v>
      </c>
      <c r="C563" s="28">
        <f t="shared" ref="C563:C564" si="61">I563*3%+I563</f>
        <v>52.282799999999995</v>
      </c>
      <c r="D563" s="19" t="s">
        <v>191</v>
      </c>
      <c r="E563" s="19" t="s">
        <v>14</v>
      </c>
      <c r="F563" s="19" t="s">
        <v>33</v>
      </c>
      <c r="G563" s="19" t="s">
        <v>34</v>
      </c>
      <c r="H563" s="19" t="s">
        <v>35</v>
      </c>
      <c r="I563" s="19">
        <v>50.76</v>
      </c>
      <c r="J563" s="19" t="s">
        <v>191</v>
      </c>
      <c r="K563" s="19" t="s">
        <v>18</v>
      </c>
      <c r="L563" s="19" t="s">
        <v>1083</v>
      </c>
      <c r="M563" s="34">
        <f t="shared" si="59"/>
        <v>63.453543047999993</v>
      </c>
      <c r="N563" s="19" t="s">
        <v>1083</v>
      </c>
      <c r="O563" s="34">
        <v>63.458300000000001</v>
      </c>
      <c r="P563" s="34">
        <f t="shared" si="60"/>
        <v>4.7569520000081411E-3</v>
      </c>
      <c r="Q563" s="21">
        <f t="shared" si="56"/>
        <v>63.453543047999993</v>
      </c>
    </row>
    <row r="564" spans="1:17" x14ac:dyDescent="0.25">
      <c r="A564" s="18" t="s">
        <v>1085</v>
      </c>
      <c r="B564" s="19" t="s">
        <v>1672</v>
      </c>
      <c r="C564" s="28">
        <f t="shared" si="61"/>
        <v>721</v>
      </c>
      <c r="D564" s="19" t="s">
        <v>32</v>
      </c>
      <c r="E564" s="19" t="s">
        <v>14</v>
      </c>
      <c r="F564" s="19" t="s">
        <v>15</v>
      </c>
      <c r="G564" s="19" t="s">
        <v>16</v>
      </c>
      <c r="H564" s="19" t="s">
        <v>17</v>
      </c>
      <c r="I564" s="19">
        <v>700</v>
      </c>
      <c r="J564" s="19" t="s">
        <v>32</v>
      </c>
      <c r="K564" s="19" t="s">
        <v>18</v>
      </c>
      <c r="L564" s="19" t="s">
        <v>1085</v>
      </c>
      <c r="M564" s="34">
        <f t="shared" si="59"/>
        <v>875.04885999999999</v>
      </c>
      <c r="N564" s="19">
        <v>0</v>
      </c>
      <c r="O564" s="34">
        <v>0</v>
      </c>
      <c r="P564" s="34">
        <f t="shared" si="60"/>
        <v>-875.04885999999999</v>
      </c>
      <c r="Q564" s="21">
        <f t="shared" si="56"/>
        <v>875.04885999999999</v>
      </c>
    </row>
    <row r="565" spans="1:17" x14ac:dyDescent="0.25">
      <c r="A565" s="18" t="s">
        <v>1087</v>
      </c>
      <c r="B565" s="19" t="s">
        <v>1673</v>
      </c>
      <c r="C565" s="28">
        <v>513.71</v>
      </c>
      <c r="D565" s="19" t="s">
        <v>13</v>
      </c>
      <c r="E565" s="19" t="s">
        <v>14</v>
      </c>
      <c r="F565" s="19" t="s">
        <v>33</v>
      </c>
      <c r="G565" s="19" t="s">
        <v>34</v>
      </c>
      <c r="H565" s="19" t="s">
        <v>115</v>
      </c>
      <c r="I565" s="19">
        <v>498.75</v>
      </c>
      <c r="J565" s="19" t="s">
        <v>13</v>
      </c>
      <c r="K565" s="19" t="s">
        <v>18</v>
      </c>
      <c r="L565" s="19" t="s">
        <v>1087</v>
      </c>
      <c r="M565" s="34">
        <f t="shared" si="59"/>
        <v>623.46927860000005</v>
      </c>
      <c r="N565" s="19">
        <v>0</v>
      </c>
      <c r="O565" s="34">
        <v>0</v>
      </c>
      <c r="P565" s="34">
        <f t="shared" si="60"/>
        <v>-623.46927860000005</v>
      </c>
      <c r="Q565" s="21">
        <f t="shared" si="56"/>
        <v>623.46927860000005</v>
      </c>
    </row>
    <row r="566" spans="1:17" x14ac:dyDescent="0.25">
      <c r="A566" s="18" t="s">
        <v>1089</v>
      </c>
      <c r="B566" s="19" t="s">
        <v>1674</v>
      </c>
      <c r="C566" s="28">
        <v>474.46</v>
      </c>
      <c r="D566" s="19" t="s">
        <v>13</v>
      </c>
      <c r="E566" s="19" t="s">
        <v>14</v>
      </c>
      <c r="F566" s="19" t="s">
        <v>33</v>
      </c>
      <c r="G566" s="19" t="s">
        <v>34</v>
      </c>
      <c r="H566" s="19" t="s">
        <v>115</v>
      </c>
      <c r="I566" s="19">
        <v>460.64</v>
      </c>
      <c r="J566" s="19" t="s">
        <v>13</v>
      </c>
      <c r="K566" s="19" t="s">
        <v>18</v>
      </c>
      <c r="L566" s="19" t="s">
        <v>1089</v>
      </c>
      <c r="M566" s="34">
        <f t="shared" si="59"/>
        <v>575.83312359999991</v>
      </c>
      <c r="N566" s="19" t="s">
        <v>1089</v>
      </c>
      <c r="O566" s="34">
        <v>575.83180000000004</v>
      </c>
      <c r="P566" s="34">
        <f t="shared" si="60"/>
        <v>-1.3235999998642001E-3</v>
      </c>
      <c r="Q566" s="21">
        <f t="shared" si="56"/>
        <v>575.83312359999991</v>
      </c>
    </row>
    <row r="567" spans="1:17" x14ac:dyDescent="0.25">
      <c r="A567" s="18" t="s">
        <v>1091</v>
      </c>
      <c r="B567" s="19" t="s">
        <v>1675</v>
      </c>
      <c r="C567" s="28">
        <v>16.739999999999998</v>
      </c>
      <c r="D567" s="19" t="s">
        <v>191</v>
      </c>
      <c r="E567" s="19" t="s">
        <v>14</v>
      </c>
      <c r="F567" s="19" t="s">
        <v>33</v>
      </c>
      <c r="G567" s="19" t="s">
        <v>34</v>
      </c>
      <c r="H567" s="19" t="s">
        <v>270</v>
      </c>
      <c r="I567" s="19">
        <v>16.25</v>
      </c>
      <c r="J567" s="19" t="s">
        <v>191</v>
      </c>
      <c r="K567" s="19" t="s">
        <v>18</v>
      </c>
      <c r="L567" s="19" t="s">
        <v>1091</v>
      </c>
      <c r="M567" s="34">
        <f t="shared" si="59"/>
        <v>20.316668399999998</v>
      </c>
      <c r="N567" s="19">
        <v>0</v>
      </c>
      <c r="O567" s="34">
        <v>0</v>
      </c>
      <c r="P567" s="34">
        <f t="shared" si="60"/>
        <v>-20.316668399999998</v>
      </c>
      <c r="Q567" s="21">
        <f t="shared" si="56"/>
        <v>20.316668399999998</v>
      </c>
    </row>
    <row r="568" spans="1:17" x14ac:dyDescent="0.25">
      <c r="A568" s="18" t="s">
        <v>1093</v>
      </c>
      <c r="B568" s="19" t="s">
        <v>1676</v>
      </c>
      <c r="C568" s="28">
        <f>I568*3%+I568</f>
        <v>42.126999999999995</v>
      </c>
      <c r="D568" s="19" t="s">
        <v>118</v>
      </c>
      <c r="E568" s="19" t="s">
        <v>14</v>
      </c>
      <c r="F568" s="19" t="s">
        <v>131</v>
      </c>
      <c r="G568" s="19" t="s">
        <v>132</v>
      </c>
      <c r="H568" s="19" t="s">
        <v>133</v>
      </c>
      <c r="I568" s="19">
        <v>40.9</v>
      </c>
      <c r="J568" s="19" t="s">
        <v>118</v>
      </c>
      <c r="K568" s="19" t="s">
        <v>18</v>
      </c>
      <c r="L568" s="19" t="s">
        <v>1093</v>
      </c>
      <c r="M568" s="34">
        <f t="shared" si="59"/>
        <v>51.127854819999996</v>
      </c>
      <c r="N568" s="19" t="s">
        <v>1093</v>
      </c>
      <c r="O568" s="34">
        <v>51.129199999999997</v>
      </c>
      <c r="P568" s="34">
        <f t="shared" si="60"/>
        <v>1.3451800000012781E-3</v>
      </c>
      <c r="Q568" s="21">
        <f t="shared" si="56"/>
        <v>51.127854819999996</v>
      </c>
    </row>
    <row r="569" spans="1:17" x14ac:dyDescent="0.25">
      <c r="A569" s="18" t="s">
        <v>1095</v>
      </c>
      <c r="B569" s="19" t="s">
        <v>1677</v>
      </c>
      <c r="C569" s="28">
        <v>5.41</v>
      </c>
      <c r="D569" s="19" t="s">
        <v>13</v>
      </c>
      <c r="E569" s="19" t="s">
        <v>23</v>
      </c>
      <c r="F569" s="19" t="s">
        <v>49</v>
      </c>
      <c r="G569" s="19" t="s">
        <v>50</v>
      </c>
      <c r="H569" s="19" t="s">
        <v>50</v>
      </c>
      <c r="I569" s="19">
        <v>5.25</v>
      </c>
      <c r="J569" s="19" t="s">
        <v>13</v>
      </c>
      <c r="K569" s="19" t="s">
        <v>18</v>
      </c>
      <c r="L569" s="19" t="s">
        <v>1095</v>
      </c>
      <c r="M569" s="34">
        <f t="shared" si="59"/>
        <v>6.5659006</v>
      </c>
      <c r="N569" s="19">
        <v>0</v>
      </c>
      <c r="O569" s="34">
        <v>0</v>
      </c>
      <c r="P569" s="34">
        <f t="shared" si="60"/>
        <v>-6.5659006</v>
      </c>
      <c r="Q569" s="21">
        <f t="shared" si="56"/>
        <v>6.5659006</v>
      </c>
    </row>
    <row r="570" spans="1:17" x14ac:dyDescent="0.25">
      <c r="A570" s="18" t="s">
        <v>1097</v>
      </c>
      <c r="B570" s="19" t="s">
        <v>1678</v>
      </c>
      <c r="C570" s="28">
        <v>254.15</v>
      </c>
      <c r="D570" s="19" t="s">
        <v>383</v>
      </c>
      <c r="E570" s="19" t="s">
        <v>14</v>
      </c>
      <c r="F570" s="19" t="s">
        <v>33</v>
      </c>
      <c r="G570" s="19" t="s">
        <v>34</v>
      </c>
      <c r="H570" s="19" t="s">
        <v>35</v>
      </c>
      <c r="I570" s="19">
        <v>246.75</v>
      </c>
      <c r="J570" s="19" t="s">
        <v>383</v>
      </c>
      <c r="K570" s="19" t="s">
        <v>18</v>
      </c>
      <c r="L570" s="19" t="s">
        <v>1097</v>
      </c>
      <c r="M570" s="34">
        <f t="shared" si="59"/>
        <v>308.45168899999999</v>
      </c>
      <c r="N570" s="19">
        <v>0</v>
      </c>
      <c r="O570" s="34">
        <v>0</v>
      </c>
      <c r="P570" s="34">
        <f t="shared" si="60"/>
        <v>-308.45168899999999</v>
      </c>
      <c r="Q570" s="21">
        <f t="shared" si="56"/>
        <v>308.45168899999999</v>
      </c>
    </row>
    <row r="571" spans="1:17" x14ac:dyDescent="0.25">
      <c r="A571" s="18" t="s">
        <v>1099</v>
      </c>
      <c r="B571" s="19" t="s">
        <v>1679</v>
      </c>
      <c r="C571" s="28">
        <v>15.55</v>
      </c>
      <c r="D571" s="19" t="s">
        <v>13</v>
      </c>
      <c r="E571" s="19" t="s">
        <v>14</v>
      </c>
      <c r="F571" s="19" t="s">
        <v>33</v>
      </c>
      <c r="G571" s="19" t="s">
        <v>34</v>
      </c>
      <c r="H571" s="19" t="s">
        <v>35</v>
      </c>
      <c r="I571" s="19">
        <v>15.1</v>
      </c>
      <c r="J571" s="19" t="s">
        <v>13</v>
      </c>
      <c r="K571" s="19" t="s">
        <v>18</v>
      </c>
      <c r="L571" s="19" t="s">
        <v>1099</v>
      </c>
      <c r="M571" s="34">
        <f t="shared" si="59"/>
        <v>18.872413000000002</v>
      </c>
      <c r="N571" s="19" t="s">
        <v>1099</v>
      </c>
      <c r="O571" s="34">
        <v>18.879899999999999</v>
      </c>
      <c r="P571" s="34">
        <f t="shared" si="60"/>
        <v>7.4869999999975789E-3</v>
      </c>
      <c r="Q571" s="21">
        <f t="shared" si="56"/>
        <v>18.872413000000002</v>
      </c>
    </row>
    <row r="572" spans="1:17" x14ac:dyDescent="0.25">
      <c r="A572" s="18" t="s">
        <v>1101</v>
      </c>
      <c r="B572" s="19" t="s">
        <v>1680</v>
      </c>
      <c r="C572" s="28">
        <v>26.96</v>
      </c>
      <c r="D572" s="19" t="s">
        <v>191</v>
      </c>
      <c r="E572" s="19" t="s">
        <v>14</v>
      </c>
      <c r="F572" s="19" t="s">
        <v>33</v>
      </c>
      <c r="G572" s="19" t="s">
        <v>34</v>
      </c>
      <c r="H572" s="19" t="s">
        <v>35</v>
      </c>
      <c r="I572" s="19">
        <v>25.2</v>
      </c>
      <c r="J572" s="19" t="s">
        <v>191</v>
      </c>
      <c r="K572" s="19" t="s">
        <v>18</v>
      </c>
      <c r="L572" s="19" t="s">
        <v>1101</v>
      </c>
      <c r="M572" s="34">
        <f t="shared" si="59"/>
        <v>32.720273599999999</v>
      </c>
      <c r="N572" s="19" t="s">
        <v>1101</v>
      </c>
      <c r="O572" s="34">
        <v>31.497399999999999</v>
      </c>
      <c r="P572" s="34">
        <f t="shared" si="60"/>
        <v>-1.2228735999999998</v>
      </c>
      <c r="Q572" s="21">
        <f t="shared" si="56"/>
        <v>32.720273599999999</v>
      </c>
    </row>
    <row r="573" spans="1:17" x14ac:dyDescent="0.25">
      <c r="A573" s="18" t="s">
        <v>1103</v>
      </c>
      <c r="B573" s="19" t="s">
        <v>1681</v>
      </c>
      <c r="C573" s="28">
        <v>16.22</v>
      </c>
      <c r="D573" s="19" t="s">
        <v>191</v>
      </c>
      <c r="E573" s="19" t="s">
        <v>14</v>
      </c>
      <c r="F573" s="19" t="s">
        <v>33</v>
      </c>
      <c r="G573" s="19" t="s">
        <v>34</v>
      </c>
      <c r="H573" s="19" t="s">
        <v>35</v>
      </c>
      <c r="I573" s="19">
        <v>15.75</v>
      </c>
      <c r="J573" s="19" t="s">
        <v>191</v>
      </c>
      <c r="K573" s="19" t="s">
        <v>18</v>
      </c>
      <c r="L573" s="19" t="s">
        <v>1103</v>
      </c>
      <c r="M573" s="34">
        <f t="shared" si="59"/>
        <v>19.685565199999999</v>
      </c>
      <c r="N573" s="19">
        <v>0</v>
      </c>
      <c r="O573" s="34">
        <v>0</v>
      </c>
      <c r="P573" s="34">
        <f t="shared" si="60"/>
        <v>-19.685565199999999</v>
      </c>
      <c r="Q573" s="21">
        <f t="shared" si="56"/>
        <v>19.685565199999999</v>
      </c>
    </row>
    <row r="574" spans="1:17" x14ac:dyDescent="0.25">
      <c r="A574" s="18" t="s">
        <v>1105</v>
      </c>
      <c r="B574" s="19" t="s">
        <v>1682</v>
      </c>
      <c r="C574" s="28">
        <v>1784</v>
      </c>
      <c r="D574" s="19" t="s">
        <v>13</v>
      </c>
      <c r="E574" s="19" t="s">
        <v>14</v>
      </c>
      <c r="F574" s="19" t="s">
        <v>33</v>
      </c>
      <c r="G574" s="19" t="s">
        <v>34</v>
      </c>
      <c r="H574" s="19" t="s">
        <v>115</v>
      </c>
      <c r="I574" s="19">
        <v>1732.5</v>
      </c>
      <c r="J574" s="19" t="s">
        <v>13</v>
      </c>
      <c r="K574" s="19" t="s">
        <v>18</v>
      </c>
      <c r="L574" s="19" t="s">
        <v>1105</v>
      </c>
      <c r="M574" s="34">
        <f t="shared" si="59"/>
        <v>2165.1694400000001</v>
      </c>
      <c r="N574" s="19">
        <v>0</v>
      </c>
      <c r="O574" s="34">
        <v>0</v>
      </c>
      <c r="P574" s="34">
        <f t="shared" si="60"/>
        <v>-2165.1694400000001</v>
      </c>
      <c r="Q574" s="21">
        <f t="shared" si="56"/>
        <v>2165.1694400000001</v>
      </c>
    </row>
    <row r="575" spans="1:17" x14ac:dyDescent="0.25">
      <c r="A575" s="18" t="s">
        <v>1107</v>
      </c>
      <c r="B575" s="19" t="s">
        <v>1683</v>
      </c>
      <c r="C575" s="28">
        <v>3028</v>
      </c>
      <c r="D575" s="19" t="s">
        <v>13</v>
      </c>
      <c r="E575" s="19" t="s">
        <v>14</v>
      </c>
      <c r="F575" s="19" t="s">
        <v>33</v>
      </c>
      <c r="G575" s="19" t="s">
        <v>34</v>
      </c>
      <c r="H575" s="19" t="s">
        <v>115</v>
      </c>
      <c r="I575" s="19">
        <v>2940</v>
      </c>
      <c r="J575" s="19" t="s">
        <v>13</v>
      </c>
      <c r="K575" s="19" t="s">
        <v>18</v>
      </c>
      <c r="L575" s="19" t="s">
        <v>1107</v>
      </c>
      <c r="M575" s="34">
        <f t="shared" si="59"/>
        <v>3674.9624799999997</v>
      </c>
      <c r="N575" s="19">
        <v>0</v>
      </c>
      <c r="O575" s="34">
        <v>0</v>
      </c>
      <c r="P575" s="34">
        <f t="shared" si="60"/>
        <v>-3674.9624799999997</v>
      </c>
      <c r="Q575" s="21">
        <f t="shared" si="56"/>
        <v>3674.9624799999997</v>
      </c>
    </row>
    <row r="576" spans="1:17" x14ac:dyDescent="0.25">
      <c r="A576" s="18" t="s">
        <v>1109</v>
      </c>
      <c r="B576" s="19" t="s">
        <v>1684</v>
      </c>
      <c r="C576" s="28">
        <f>I576*3%+I576</f>
        <v>2374.15</v>
      </c>
      <c r="D576" s="19" t="s">
        <v>191</v>
      </c>
      <c r="E576" s="19" t="s">
        <v>14</v>
      </c>
      <c r="F576" s="19" t="s">
        <v>33</v>
      </c>
      <c r="G576" s="19" t="s">
        <v>34</v>
      </c>
      <c r="H576" s="19" t="s">
        <v>392</v>
      </c>
      <c r="I576" s="19">
        <v>2305</v>
      </c>
      <c r="J576" s="19" t="s">
        <v>191</v>
      </c>
      <c r="K576" s="19" t="s">
        <v>18</v>
      </c>
      <c r="L576" s="19" t="s">
        <v>1109</v>
      </c>
      <c r="M576" s="34">
        <f t="shared" si="59"/>
        <v>2881.4108890000002</v>
      </c>
      <c r="N576" s="19">
        <v>0</v>
      </c>
      <c r="O576" s="34">
        <v>0</v>
      </c>
      <c r="P576" s="34">
        <f t="shared" si="60"/>
        <v>-2881.4108890000002</v>
      </c>
      <c r="Q576" s="21">
        <f t="shared" si="56"/>
        <v>2881.4108890000002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Pearse Carl</dc:creator>
  <cp:lastModifiedBy>Topping Kevin</cp:lastModifiedBy>
  <dcterms:created xsi:type="dcterms:W3CDTF">2026-03-23T22:30:41Z</dcterms:created>
  <dcterms:modified xsi:type="dcterms:W3CDTF">2026-07-24T09:56:55Z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